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" sheetId="1" state="visible" r:id="rId3"/>
    <sheet name="EXAMPLE - 19.04.26" sheetId="2" state="visible" r:id="rId4"/>
    <sheet name="README" sheetId="3" state="visible" r:id="rId5"/>
  </sheets>
  <definedNames>
    <definedName function="false" hidden="false" localSheetId="1" name="_xlnm.Print_Area" vbProcedure="false">'EXAMPLE - 19.04.26'!$A$1:$L$39</definedName>
    <definedName function="false" hidden="false" localSheetId="0" name="_xlnm.Print_Area" vbProcedure="false">TEMPLATE!$A$1:$L$39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<sst xmlns="http://schemas.openxmlformats.org/spreadsheetml/2006/main" count="156" uniqueCount="99">
  <si>
    <t xml:space="preserve">CENTRUM LOTNICZE</t>
  </si>
  <si>
    <t xml:space="preserve">FLIGHT PLAN  /  PLAN LOTU</t>
  </si>
  <si>
    <t xml:space="preserve">DATE</t>
  </si>
  <si>
    <t xml:space="preserve">DEPARTURE</t>
  </si>
  <si>
    <t xml:space="preserve">DESTINATION</t>
  </si>
  <si>
    <t xml:space="preserve">A/C TYPE</t>
  </si>
  <si>
    <t xml:space="preserve">A/C IDENT</t>
  </si>
  <si>
    <t xml:space="preserve">PILOT</t>
  </si>
  <si>
    <t xml:space="preserve">INSTRUCTOR</t>
  </si>
  <si>
    <t xml:space="preserve">DEPARTURE CLEARANCE</t>
  </si>
  <si>
    <t xml:space="preserve">WEATHER &amp; PERFORMANCE</t>
  </si>
  <si>
    <t xml:space="preserve">FREQUENCIES &amp; TIMES</t>
  </si>
  <si>
    <t xml:space="preserve">WIND DIR [°]</t>
  </si>
  <si>
    <t xml:space="preserve">FREQ DEPARTURE</t>
  </si>
  <si>
    <t xml:space="preserve">WIND VEL [kt]</t>
  </si>
  <si>
    <t xml:space="preserve">FREQ DESTINATION</t>
  </si>
  <si>
    <t xml:space="preserve">IAS [kt]</t>
  </si>
  <si>
    <t xml:space="preserve">ETD</t>
  </si>
  <si>
    <t xml:space="preserve">TAS [kt]</t>
  </si>
  <si>
    <t xml:space="preserve">ATD</t>
  </si>
  <si>
    <t xml:space="preserve">TOTAL FUEL [L]</t>
  </si>
  <si>
    <t xml:space="preserve">ETA</t>
  </si>
  <si>
    <t xml:space="preserve">USEABLE [L]</t>
  </si>
  <si>
    <t xml:space="preserve">ATA</t>
  </si>
  <si>
    <t xml:space="preserve">FUEL FLOW [L/h]</t>
  </si>
  <si>
    <t xml:space="preserve">SR</t>
  </si>
  <si>
    <t xml:space="preserve">OAT [°C]</t>
  </si>
  <si>
    <t xml:space="preserve">SS</t>
  </si>
  <si>
    <t xml:space="preserve">WAYPOINT / ROUTE</t>
  </si>
  <si>
    <t xml:space="preserve">IDENT / FRQ</t>
  </si>
  <si>
    <t xml:space="preserve">MT
[°]</t>
  </si>
  <si>
    <t xml:space="preserve">WCA
[°]</t>
  </si>
  <si>
    <t xml:space="preserve">MH
[°]</t>
  </si>
  <si>
    <t xml:space="preserve">DIST
[NM]</t>
  </si>
  <si>
    <t xml:space="preserve">GS
[kt]</t>
  </si>
  <si>
    <t xml:space="preserve">TIME
[min]</t>
  </si>
  <si>
    <t xml:space="preserve">ETO
[hh:mm]</t>
  </si>
  <si>
    <t xml:space="preserve">ATO
[hh:mm]</t>
  </si>
  <si>
    <t xml:space="preserve">MIN ALT
[ft]</t>
  </si>
  <si>
    <t xml:space="preserve">PLAN ALT
[ft]</t>
  </si>
  <si>
    <t xml:space="preserve">TOTALS  /  RAZEM</t>
  </si>
  <si>
    <t xml:space="preserve">FUEL PLANNING  /  PALIWO</t>
  </si>
  <si>
    <t xml:space="preserve">ALTERNATE  /  LOTNISKO ZAPASOWE</t>
  </si>
  <si>
    <t xml:space="preserve">Trip fuel [L]</t>
  </si>
  <si>
    <t xml:space="preserve">Alternate field:</t>
  </si>
  <si>
    <t xml:space="preserve">Reserve (30 min) [L]</t>
  </si>
  <si>
    <t xml:space="preserve">Distance [NM]:</t>
  </si>
  <si>
    <t xml:space="preserve">Block fuel needed [L]</t>
  </si>
  <si>
    <t xml:space="preserve">Extra time [min]:</t>
  </si>
  <si>
    <t xml:space="preserve">ARRIVAL CLEARANCE / NOTES / NOTAM</t>
  </si>
  <si>
    <t xml:space="preserve">PILOT SIGNATURE</t>
  </si>
  <si>
    <t xml:space="preserve">INSTRUCTOR SIGNATURE</t>
  </si>
  <si>
    <t xml:space="preserve">19.04.26</t>
  </si>
  <si>
    <t xml:space="preserve">EPBC</t>
  </si>
  <si>
    <t xml:space="preserve">AAT3</t>
  </si>
  <si>
    <t xml:space="preserve">SP-TPB</t>
  </si>
  <si>
    <t xml:space="preserve">MF</t>
  </si>
  <si>
    <t xml:space="preserve">TAS</t>
  </si>
  <si>
    <t xml:space="preserve">119.180</t>
  </si>
  <si>
    <t xml:space="preserve">UNIFORM</t>
  </si>
  <si>
    <t xml:space="preserve">123.925</t>
  </si>
  <si>
    <t xml:space="preserve">INDIA</t>
  </si>
  <si>
    <t xml:space="preserve">123.505</t>
  </si>
  <si>
    <t xml:space="preserve">HOTEL</t>
  </si>
  <si>
    <t xml:space="preserve">123.510</t>
  </si>
  <si>
    <t xml:space="preserve">CIECHANOW</t>
  </si>
  <si>
    <t xml:space="preserve">EPGY</t>
  </si>
  <si>
    <t xml:space="preserve">126.855</t>
  </si>
  <si>
    <t xml:space="preserve">WYSZKOW</t>
  </si>
  <si>
    <t xml:space="preserve">DELTA</t>
  </si>
  <si>
    <t xml:space="preserve">123.975</t>
  </si>
  <si>
    <t xml:space="preserve">PAPA</t>
  </si>
  <si>
    <t xml:space="preserve">FLIGHT PLAN — Centrum Lotnicze</t>
  </si>
  <si>
    <t xml:space="preserve">Wzór naw-logu z auto-obliczeniami trójkąta wiatru</t>
  </si>
  <si>
    <t xml:space="preserve">KOLORY KOMÓREK</t>
  </si>
  <si>
    <t xml:space="preserve">  • ŻÓŁTE = pola do wypełnienia ręcznie</t>
  </si>
  <si>
    <t xml:space="preserve">  • NIEBIESKIE = wartości obliczane automatycznie (nie ruszać)</t>
  </si>
  <si>
    <t xml:space="preserve">  • CIEMNE NAVY = nagłówki / sumy</t>
  </si>
  <si>
    <t xml:space="preserve">JAK WYPEŁNIAĆ</t>
  </si>
  <si>
    <t xml:space="preserve">  1. Wpisz datę, lotniska, typ statku, znaki, pilot/instruktor</t>
  </si>
  <si>
    <t xml:space="preserve">  2. Sekcja WEATHER &amp; PERFORMANCE: WIND DIR/VEL, IAS, fuel, OAT</t>
  </si>
  <si>
    <t xml:space="preserve">     TAS liczy się sam (IAS + 2%/1000 ft, na podstawie pierwszej planowanej wysokości)</t>
  </si>
  <si>
    <t xml:space="preserve">  3. ETD wpisz w formacie hh:mm — od tego liczą się ETO</t>
  </si>
  <si>
    <t xml:space="preserve">  4. Tabela trasy: WAYPOINT, IDENT/FRQ, MT (z mapy), DIST (z mapy), MIN/PLAN ALT</t>
  </si>
  <si>
    <t xml:space="preserve">     WCA, MH, GS, TIME, ETO liczą się same</t>
  </si>
  <si>
    <t xml:space="preserve">  5. Po starcie wpisuj ATO (rzeczywisty czas nad punktem) w formacie hh:mm</t>
  </si>
  <si>
    <t xml:space="preserve">FORMUŁY (TRÓJKĄT WIATRU)</t>
  </si>
  <si>
    <t xml:space="preserve">  WCA  = ASIN( WV × sin(WD − MT) / TAS )</t>
  </si>
  <si>
    <t xml:space="preserve">  MH   = (MT + WCA + 360) mod 360</t>
  </si>
  <si>
    <t xml:space="preserve">  GS   = TAS × cos(WCA) − WV × cos(WD − MT)</t>
  </si>
  <si>
    <t xml:space="preserve">  TIME = DIST / GS × 60</t>
  </si>
  <si>
    <t xml:space="preserve">  ETO  = poprzednie ETO + TIME (lub ETD + TIME dla 1. odcinka)</t>
  </si>
  <si>
    <t xml:space="preserve">UWAGI</t>
  </si>
  <si>
    <t xml:space="preserve">  • Deklinacja magnetyczna nie jest tu uwzględniana — wpisuj MT już z poprawką lub dodaj kolumnę VAR</t>
  </si>
  <si>
    <t xml:space="preserve">  • Trip fuel = total flight time × FUEL FLOW</t>
  </si>
  <si>
    <t xml:space="preserve">  • Reserve = 30 min w cenie</t>
  </si>
  <si>
    <t xml:space="preserve">  • Block fuel = Trip + Reserve (czerwone — minimum do wlania)</t>
  </si>
  <si>
    <t xml:space="preserve">Arkusz "EXAMPLE - 19.04.26" pokazuje wypełniony plan z Twojego zdjęcia.</t>
  </si>
  <si>
    <t xml:space="preserve">Arkusz "TEMPLATE" jest pusty — gotowy do wydruku lub kopiowania.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</si>
</sst>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hh:mm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8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81E3C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6"/>
      <color rgb="FF081E3C"/>
      <name val="Calibri"/>
      <family val="0"/>
      <charset val="1"/>
    </font>
    <font>
      <sz val="11"/>
      <color rgb="FF808080"/>
      <name val="Calibri"/>
      <family val="0"/>
      <charset val="1"/>
    </font>
    <font>
      <b val="true"/>
      <sz val="12"/>
      <color rgb="FF081E3C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81E3C"/>
        <bgColor rgb="FF0B2A52"/>
      </patternFill>
    </fill>
    <fill>
      <patternFill patternType="solid">
        <fgColor rgb="FF0B2A52"/>
        <bgColor rgb="FF081E3C"/>
      </patternFill>
    </fill>
    <fill>
      <patternFill patternType="solid">
        <fgColor rgb="FF1F4E79"/>
        <bgColor rgb="FF0B2A52"/>
      </patternFill>
    </fill>
    <fill>
      <patternFill patternType="solid">
        <fgColor rgb="FFFFF8DC"/>
        <bgColor rgb="FFF4F7FB"/>
      </patternFill>
    </fill>
    <fill>
      <patternFill patternType="solid">
        <fgColor rgb="FFD9E2F3"/>
        <bgColor rgb="FFDEE6F2"/>
      </patternFill>
    </fill>
    <fill>
      <patternFill patternType="solid">
        <fgColor rgb="FFE8EEF7"/>
        <bgColor rgb="FFDEE6F2"/>
      </patternFill>
    </fill>
    <fill>
      <patternFill patternType="solid">
        <fgColor rgb="FFFFFFFF"/>
        <bgColor rgb="FFF4F7FB"/>
      </patternFill>
    </fill>
    <fill>
      <patternFill patternType="solid">
        <fgColor rgb="FFF4F7FB"/>
        <bgColor rgb="FFFFFFFF"/>
      </patternFill>
    </fill>
    <fill>
      <patternFill patternType="solid">
        <fgColor rgb="FFDEE6F2"/>
        <bgColor rgb="FFD9E2F3"/>
      </patternFill>
    </fill>
    <fill>
      <patternFill patternType="solid">
        <fgColor rgb="FFBDD7EE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E8EE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F2"/>
      <rgbColor rgb="FFD9E2F3"/>
      <rgbColor rgb="FFF4F7F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52"/>
      <rgbColor rgb="FF339966"/>
      <rgbColor rgb="FF081E3C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7" min="3" style="0" width="8"/>
    <col collapsed="false" customWidth="true" hidden="false" outlineLevel="0" max="10" min="8" style="0" width="9"/>
    <col collapsed="false" customWidth="true" hidden="false" outlineLevel="0" max="12" min="11" style="0" width="8"/>
  </cols>
  <sheetData>
    <row r="1" customFormat="false" ht="36" hidden="false" customHeight="true" outlineLevel="0" collapsed="false">
      <c r="A1" s="1" t="s">
        <v>0</v>
      </c>
      <c r="B1" s="1"/>
      <c r="C1" s="2" t="s">
        <v>1</v>
      </c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true" outlineLevel="0" collapsed="false">
      <c r="A2" s="3" t="s">
        <v>2</v>
      </c>
      <c r="B2" s="3" t="s">
        <v>3</v>
      </c>
      <c r="C2" s="3" t="s">
        <v>4</v>
      </c>
      <c r="D2" s="3"/>
      <c r="E2" s="3" t="s">
        <v>5</v>
      </c>
      <c r="F2" s="3"/>
      <c r="G2" s="3" t="s">
        <v>6</v>
      </c>
      <c r="H2" s="3"/>
      <c r="I2" s="3" t="s">
        <v>7</v>
      </c>
      <c r="J2" s="3"/>
      <c r="K2" s="3" t="s">
        <v>8</v>
      </c>
      <c r="L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19.5" hidden="false" customHeight="true" outlineLevel="0" collapsed="false">
      <c r="A4" s="5" t="s">
        <v>9</v>
      </c>
      <c r="B4" s="5"/>
      <c r="C4" s="5"/>
      <c r="D4" s="5" t="s">
        <v>10</v>
      </c>
      <c r="E4" s="5"/>
      <c r="F4" s="5"/>
      <c r="G4" s="5"/>
      <c r="H4" s="5" t="s">
        <v>11</v>
      </c>
      <c r="I4" s="5"/>
      <c r="J4" s="5"/>
      <c r="K4" s="5"/>
      <c r="L4" s="5"/>
    </row>
    <row r="5" customFormat="false" ht="16.5" hidden="false" customHeight="true" outlineLevel="0" collapsed="false">
      <c r="A5" s="6"/>
      <c r="B5" s="6"/>
      <c r="C5" s="6"/>
      <c r="D5" s="7" t="s">
        <v>12</v>
      </c>
      <c r="E5" s="7"/>
      <c r="F5" s="8"/>
      <c r="G5" s="8"/>
      <c r="H5" s="7" t="s">
        <v>13</v>
      </c>
      <c r="I5" s="7"/>
      <c r="J5" s="9"/>
      <c r="K5" s="9"/>
      <c r="L5" s="9"/>
    </row>
    <row r="6" customFormat="false" ht="16.5" hidden="false" customHeight="true" outlineLevel="0" collapsed="false">
      <c r="A6" s="6"/>
      <c r="B6" s="6"/>
      <c r="C6" s="6"/>
      <c r="D6" s="7" t="s">
        <v>14</v>
      </c>
      <c r="E6" s="7"/>
      <c r="F6" s="8"/>
      <c r="G6" s="8"/>
      <c r="H6" s="7" t="s">
        <v>15</v>
      </c>
      <c r="I6" s="7"/>
      <c r="J6" s="9"/>
      <c r="K6" s="9"/>
      <c r="L6" s="9"/>
    </row>
    <row r="7" customFormat="false" ht="16.5" hidden="false" customHeight="true" outlineLevel="0" collapsed="false">
      <c r="A7" s="6"/>
      <c r="B7" s="6"/>
      <c r="C7" s="6"/>
      <c r="D7" s="7" t="s">
        <v>16</v>
      </c>
      <c r="E7" s="7"/>
      <c r="F7" s="8"/>
      <c r="G7" s="8"/>
      <c r="H7" s="7" t="s">
        <v>17</v>
      </c>
      <c r="I7" s="7"/>
      <c r="J7" s="9"/>
      <c r="K7" s="9"/>
      <c r="L7" s="9"/>
    </row>
    <row r="8" customFormat="false" ht="16.5" hidden="false" customHeight="true" outlineLevel="0" collapsed="false">
      <c r="A8" s="6"/>
      <c r="B8" s="6"/>
      <c r="C8" s="6"/>
      <c r="D8" s="7" t="s">
        <v>18</v>
      </c>
      <c r="E8" s="7"/>
      <c r="F8" s="10" t="n">
        <f aca="false">IFERROR(IF(OR(F7="",L15=""),F7,F7*(1+0.02*L15/1000)),F7)</f>
        <v>0</v>
      </c>
      <c r="G8" s="10"/>
      <c r="H8" s="7" t="s">
        <v>19</v>
      </c>
      <c r="I8" s="7"/>
      <c r="J8" s="9"/>
      <c r="K8" s="9"/>
      <c r="L8" s="9"/>
    </row>
    <row r="9" customFormat="false" ht="16.5" hidden="false" customHeight="true" outlineLevel="0" collapsed="false">
      <c r="A9" s="6"/>
      <c r="B9" s="6"/>
      <c r="C9" s="6"/>
      <c r="D9" s="7" t="s">
        <v>20</v>
      </c>
      <c r="E9" s="7"/>
      <c r="F9" s="8"/>
      <c r="G9" s="8"/>
      <c r="H9" s="7" t="s">
        <v>21</v>
      </c>
      <c r="I9" s="7"/>
      <c r="J9" s="9"/>
      <c r="K9" s="9"/>
      <c r="L9" s="9"/>
    </row>
    <row r="10" customFormat="false" ht="16.5" hidden="false" customHeight="true" outlineLevel="0" collapsed="false">
      <c r="A10" s="6"/>
      <c r="B10" s="6"/>
      <c r="C10" s="6"/>
      <c r="D10" s="7" t="s">
        <v>22</v>
      </c>
      <c r="E10" s="7"/>
      <c r="F10" s="8"/>
      <c r="G10" s="8"/>
      <c r="H10" s="7" t="s">
        <v>23</v>
      </c>
      <c r="I10" s="7"/>
      <c r="J10" s="9"/>
      <c r="K10" s="9"/>
      <c r="L10" s="9"/>
    </row>
    <row r="11" customFormat="false" ht="16.5" hidden="false" customHeight="true" outlineLevel="0" collapsed="false">
      <c r="A11" s="6"/>
      <c r="B11" s="6"/>
      <c r="C11" s="6"/>
      <c r="D11" s="7" t="s">
        <v>24</v>
      </c>
      <c r="E11" s="7"/>
      <c r="F11" s="11"/>
      <c r="G11" s="11"/>
      <c r="H11" s="7" t="s">
        <v>25</v>
      </c>
      <c r="I11" s="7"/>
      <c r="J11" s="9"/>
      <c r="K11" s="9"/>
      <c r="L11" s="9"/>
    </row>
    <row r="12" customFormat="false" ht="16.5" hidden="false" customHeight="true" outlineLevel="0" collapsed="false">
      <c r="A12" s="6"/>
      <c r="B12" s="6"/>
      <c r="C12" s="6"/>
      <c r="D12" s="7" t="s">
        <v>26</v>
      </c>
      <c r="E12" s="7"/>
      <c r="F12" s="8"/>
      <c r="G12" s="8"/>
      <c r="H12" s="7" t="s">
        <v>27</v>
      </c>
      <c r="I12" s="7"/>
      <c r="J12" s="9"/>
      <c r="K12" s="9"/>
      <c r="L12" s="9"/>
    </row>
    <row r="13" customFormat="false" ht="6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customFormat="false" ht="31.5" hidden="false" customHeight="true" outlineLevel="0" collapsed="false">
      <c r="A14" s="13" t="s">
        <v>28</v>
      </c>
      <c r="B14" s="13" t="s">
        <v>29</v>
      </c>
      <c r="C14" s="13" t="s">
        <v>30</v>
      </c>
      <c r="D14" s="13" t="s">
        <v>31</v>
      </c>
      <c r="E14" s="13" t="s">
        <v>32</v>
      </c>
      <c r="F14" s="13" t="s">
        <v>33</v>
      </c>
      <c r="G14" s="13" t="s">
        <v>34</v>
      </c>
      <c r="H14" s="13" t="s">
        <v>35</v>
      </c>
      <c r="I14" s="13" t="s">
        <v>36</v>
      </c>
      <c r="J14" s="13" t="s">
        <v>37</v>
      </c>
      <c r="K14" s="13" t="s">
        <v>38</v>
      </c>
      <c r="L14" s="13" t="s">
        <v>39</v>
      </c>
    </row>
    <row r="15" customFormat="false" ht="18" hidden="false" customHeight="true" outlineLevel="0" collapsed="false">
      <c r="A15" s="14"/>
      <c r="B15" s="15"/>
      <c r="C15" s="16"/>
      <c r="D15" s="17" t="str">
        <f aca="false">IFERROR(IF(OR(C15="",$F$6="",$F$8=""),"",ROUND(DEGREES(ASIN($F$6*SIN(RADIANS($F$5-C15))/$F$8)),0)),"")</f>
        <v/>
      </c>
      <c r="E15" s="17" t="str">
        <f aca="false">IFERROR(IF(OR(C15="",D15=""),"",MOD(ROUND(C15+D15,0)+360,360)),"")</f>
        <v/>
      </c>
      <c r="F15" s="18"/>
      <c r="G15" s="17" t="str">
        <f aca="false">IFERROR(IF(OR(C15="",$F$8=""),"",ROUND($F$8*COS(RADIANS(D15))-$F$6*COS(RADIANS($F$5-C15)),0)),"")</f>
        <v/>
      </c>
      <c r="H15" s="17" t="str">
        <f aca="false">IFERROR(IF(OR(F15="",G15="",G15&lt;=0),"",ROUND(F15/G15*60,0)),"")</f>
        <v/>
      </c>
      <c r="I15" s="19" t="str">
        <f aca="false">IFERROR(IF(OR(H15="",$J$7=""),"",$J$7+H15/1440),"")</f>
        <v/>
      </c>
      <c r="J15" s="20"/>
      <c r="K15" s="16"/>
      <c r="L15" s="16"/>
    </row>
    <row r="16" customFormat="false" ht="18" hidden="false" customHeight="true" outlineLevel="0" collapsed="false">
      <c r="A16" s="21"/>
      <c r="B16" s="22"/>
      <c r="C16" s="23"/>
      <c r="D16" s="24" t="str">
        <f aca="false">IFERROR(IF(OR(C16="",$F$6="",$F$8=""),"",ROUND(DEGREES(ASIN($F$6*SIN(RADIANS($F$5-C16))/$F$8)),0)),"")</f>
        <v/>
      </c>
      <c r="E16" s="24" t="str">
        <f aca="false">IFERROR(IF(OR(C16="",D16=""),"",MOD(ROUND(C16+D16,0)+360,360)),"")</f>
        <v/>
      </c>
      <c r="F16" s="25"/>
      <c r="G16" s="24" t="str">
        <f aca="false">IFERROR(IF(OR(C16="",$F$8=""),"",ROUND($F$8*COS(RADIANS(D16))-$F$6*COS(RADIANS($F$5-C16)),0)),"")</f>
        <v/>
      </c>
      <c r="H16" s="24" t="str">
        <f aca="false">IFERROR(IF(OR(F16="",G16="",G16&lt;=0),"",ROUND(F16/G16*60,0)),"")</f>
        <v/>
      </c>
      <c r="I16" s="26" t="str">
        <f aca="false">IFERROR(IF(OR(H16="",I15=""),"",I15+H16/1440),"")</f>
        <v/>
      </c>
      <c r="J16" s="27"/>
      <c r="K16" s="23"/>
      <c r="L16" s="23"/>
    </row>
    <row r="17" customFormat="false" ht="18" hidden="false" customHeight="true" outlineLevel="0" collapsed="false">
      <c r="A17" s="14"/>
      <c r="B17" s="15"/>
      <c r="C17" s="16"/>
      <c r="D17" s="17" t="str">
        <f aca="false">IFERROR(IF(OR(C17="",$F$6="",$F$8=""),"",ROUND(DEGREES(ASIN($F$6*SIN(RADIANS($F$5-C17))/$F$8)),0)),"")</f>
        <v/>
      </c>
      <c r="E17" s="17" t="str">
        <f aca="false">IFERROR(IF(OR(C17="",D17=""),"",MOD(ROUND(C17+D17,0)+360,360)),"")</f>
        <v/>
      </c>
      <c r="F17" s="18"/>
      <c r="G17" s="17" t="str">
        <f aca="false">IFERROR(IF(OR(C17="",$F$8=""),"",ROUND($F$8*COS(RADIANS(D17))-$F$6*COS(RADIANS($F$5-C17)),0)),"")</f>
        <v/>
      </c>
      <c r="H17" s="17" t="str">
        <f aca="false">IFERROR(IF(OR(F17="",G17="",G17&lt;=0),"",ROUND(F17/G17*60,0)),"")</f>
        <v/>
      </c>
      <c r="I17" s="19" t="str">
        <f aca="false">IFERROR(IF(OR(H17="",I16=""),"",I16+H17/1440),"")</f>
        <v/>
      </c>
      <c r="J17" s="20"/>
      <c r="K17" s="16"/>
      <c r="L17" s="16"/>
    </row>
    <row r="18" customFormat="false" ht="18" hidden="false" customHeight="true" outlineLevel="0" collapsed="false">
      <c r="A18" s="21"/>
      <c r="B18" s="22"/>
      <c r="C18" s="23"/>
      <c r="D18" s="24" t="str">
        <f aca="false">IFERROR(IF(OR(C18="",$F$6="",$F$8=""),"",ROUND(DEGREES(ASIN($F$6*SIN(RADIANS($F$5-C18))/$F$8)),0)),"")</f>
        <v/>
      </c>
      <c r="E18" s="24" t="str">
        <f aca="false">IFERROR(IF(OR(C18="",D18=""),"",MOD(ROUND(C18+D18,0)+360,360)),"")</f>
        <v/>
      </c>
      <c r="F18" s="25"/>
      <c r="G18" s="24" t="str">
        <f aca="false">IFERROR(IF(OR(C18="",$F$8=""),"",ROUND($F$8*COS(RADIANS(D18))-$F$6*COS(RADIANS($F$5-C18)),0)),"")</f>
        <v/>
      </c>
      <c r="H18" s="24" t="str">
        <f aca="false">IFERROR(IF(OR(F18="",G18="",G18&lt;=0),"",ROUND(F18/G18*60,0)),"")</f>
        <v/>
      </c>
      <c r="I18" s="26" t="str">
        <f aca="false">IFERROR(IF(OR(H18="",I17=""),"",I17+H18/1440),"")</f>
        <v/>
      </c>
      <c r="J18" s="27"/>
      <c r="K18" s="23"/>
      <c r="L18" s="23"/>
    </row>
    <row r="19" customFormat="false" ht="18" hidden="false" customHeight="true" outlineLevel="0" collapsed="false">
      <c r="A19" s="14"/>
      <c r="B19" s="15"/>
      <c r="C19" s="16"/>
      <c r="D19" s="17" t="str">
        <f aca="false">IFERROR(IF(OR(C19="",$F$6="",$F$8=""),"",ROUND(DEGREES(ASIN($F$6*SIN(RADIANS($F$5-C19))/$F$8)),0)),"")</f>
        <v/>
      </c>
      <c r="E19" s="17" t="str">
        <f aca="false">IFERROR(IF(OR(C19="",D19=""),"",MOD(ROUND(C19+D19,0)+360,360)),"")</f>
        <v/>
      </c>
      <c r="F19" s="18"/>
      <c r="G19" s="17" t="str">
        <f aca="false">IFERROR(IF(OR(C19="",$F$8=""),"",ROUND($F$8*COS(RADIANS(D19))-$F$6*COS(RADIANS($F$5-C19)),0)),"")</f>
        <v/>
      </c>
      <c r="H19" s="17" t="str">
        <f aca="false">IFERROR(IF(OR(F19="",G19="",G19&lt;=0),"",ROUND(F19/G19*60,0)),"")</f>
        <v/>
      </c>
      <c r="I19" s="19" t="str">
        <f aca="false">IFERROR(IF(OR(H19="",I18=""),"",I18+H19/1440),"")</f>
        <v/>
      </c>
      <c r="J19" s="20"/>
      <c r="K19" s="16"/>
      <c r="L19" s="16"/>
    </row>
    <row r="20" customFormat="false" ht="18" hidden="false" customHeight="true" outlineLevel="0" collapsed="false">
      <c r="A20" s="21"/>
      <c r="B20" s="22"/>
      <c r="C20" s="23"/>
      <c r="D20" s="24" t="str">
        <f aca="false">IFERROR(IF(OR(C20="",$F$6="",$F$8=""),"",ROUND(DEGREES(ASIN($F$6*SIN(RADIANS($F$5-C20))/$F$8)),0)),"")</f>
        <v/>
      </c>
      <c r="E20" s="24" t="str">
        <f aca="false">IFERROR(IF(OR(C20="",D20=""),"",MOD(ROUND(C20+D20,0)+360,360)),"")</f>
        <v/>
      </c>
      <c r="F20" s="25"/>
      <c r="G20" s="24" t="str">
        <f aca="false">IFERROR(IF(OR(C20="",$F$8=""),"",ROUND($F$8*COS(RADIANS(D20))-$F$6*COS(RADIANS($F$5-C20)),0)),"")</f>
        <v/>
      </c>
      <c r="H20" s="24" t="str">
        <f aca="false">IFERROR(IF(OR(F20="",G20="",G20&lt;=0),"",ROUND(F20/G20*60,0)),"")</f>
        <v/>
      </c>
      <c r="I20" s="26" t="str">
        <f aca="false">IFERROR(IF(OR(H20="",I19=""),"",I19+H20/1440),"")</f>
        <v/>
      </c>
      <c r="J20" s="27"/>
      <c r="K20" s="23"/>
      <c r="L20" s="23"/>
    </row>
    <row r="21" customFormat="false" ht="18" hidden="false" customHeight="true" outlineLevel="0" collapsed="false">
      <c r="A21" s="14"/>
      <c r="B21" s="15"/>
      <c r="C21" s="16"/>
      <c r="D21" s="17" t="str">
        <f aca="false">IFERROR(IF(OR(C21="",$F$6="",$F$8=""),"",ROUND(DEGREES(ASIN($F$6*SIN(RADIANS($F$5-C21))/$F$8)),0)),"")</f>
        <v/>
      </c>
      <c r="E21" s="17" t="str">
        <f aca="false">IFERROR(IF(OR(C21="",D21=""),"",MOD(ROUND(C21+D21,0)+360,360)),"")</f>
        <v/>
      </c>
      <c r="F21" s="18"/>
      <c r="G21" s="17" t="str">
        <f aca="false">IFERROR(IF(OR(C21="",$F$8=""),"",ROUND($F$8*COS(RADIANS(D21))-$F$6*COS(RADIANS($F$5-C21)),0)),"")</f>
        <v/>
      </c>
      <c r="H21" s="17" t="str">
        <f aca="false">IFERROR(IF(OR(F21="",G21="",G21&lt;=0),"",ROUND(F21/G21*60,0)),"")</f>
        <v/>
      </c>
      <c r="I21" s="19" t="str">
        <f aca="false">IFERROR(IF(OR(H21="",I20=""),"",I20+H21/1440),"")</f>
        <v/>
      </c>
      <c r="J21" s="20"/>
      <c r="K21" s="16"/>
      <c r="L21" s="16"/>
    </row>
    <row r="22" customFormat="false" ht="18" hidden="false" customHeight="true" outlineLevel="0" collapsed="false">
      <c r="A22" s="21"/>
      <c r="B22" s="22"/>
      <c r="C22" s="23"/>
      <c r="D22" s="24" t="str">
        <f aca="false">IFERROR(IF(OR(C22="",$F$6="",$F$8=""),"",ROUND(DEGREES(ASIN($F$6*SIN(RADIANS($F$5-C22))/$F$8)),0)),"")</f>
        <v/>
      </c>
      <c r="E22" s="24" t="str">
        <f aca="false">IFERROR(IF(OR(C22="",D22=""),"",MOD(ROUND(C22+D22,0)+360,360)),"")</f>
        <v/>
      </c>
      <c r="F22" s="25"/>
      <c r="G22" s="24" t="str">
        <f aca="false">IFERROR(IF(OR(C22="",$F$8=""),"",ROUND($F$8*COS(RADIANS(D22))-$F$6*COS(RADIANS($F$5-C22)),0)),"")</f>
        <v/>
      </c>
      <c r="H22" s="24" t="str">
        <f aca="false">IFERROR(IF(OR(F22="",G22="",G22&lt;=0),"",ROUND(F22/G22*60,0)),"")</f>
        <v/>
      </c>
      <c r="I22" s="26" t="str">
        <f aca="false">IFERROR(IF(OR(H22="",I21=""),"",I21+H22/1440),"")</f>
        <v/>
      </c>
      <c r="J22" s="27"/>
      <c r="K22" s="23"/>
      <c r="L22" s="23"/>
    </row>
    <row r="23" customFormat="false" ht="18" hidden="false" customHeight="true" outlineLevel="0" collapsed="false">
      <c r="A23" s="14"/>
      <c r="B23" s="15"/>
      <c r="C23" s="16"/>
      <c r="D23" s="17" t="str">
        <f aca="false">IFERROR(IF(OR(C23="",$F$6="",$F$8=""),"",ROUND(DEGREES(ASIN($F$6*SIN(RADIANS($F$5-C23))/$F$8)),0)),"")</f>
        <v/>
      </c>
      <c r="E23" s="17" t="str">
        <f aca="false">IFERROR(IF(OR(C23="",D23=""),"",MOD(ROUND(C23+D23,0)+360,360)),"")</f>
        <v/>
      </c>
      <c r="F23" s="18"/>
      <c r="G23" s="17" t="str">
        <f aca="false">IFERROR(IF(OR(C23="",$F$8=""),"",ROUND($F$8*COS(RADIANS(D23))-$F$6*COS(RADIANS($F$5-C23)),0)),"")</f>
        <v/>
      </c>
      <c r="H23" s="17" t="str">
        <f aca="false">IFERROR(IF(OR(F23="",G23="",G23&lt;=0),"",ROUND(F23/G23*60,0)),"")</f>
        <v/>
      </c>
      <c r="I23" s="19" t="str">
        <f aca="false">IFERROR(IF(OR(H23="",I22=""),"",I22+H23/1440),"")</f>
        <v/>
      </c>
      <c r="J23" s="20"/>
      <c r="K23" s="16"/>
      <c r="L23" s="16"/>
    </row>
    <row r="24" customFormat="false" ht="18" hidden="false" customHeight="true" outlineLevel="0" collapsed="false">
      <c r="A24" s="21"/>
      <c r="B24" s="22"/>
      <c r="C24" s="23"/>
      <c r="D24" s="24" t="str">
        <f aca="false">IFERROR(IF(OR(C24="",$F$6="",$F$8=""),"",ROUND(DEGREES(ASIN($F$6*SIN(RADIANS($F$5-C24))/$F$8)),0)),"")</f>
        <v/>
      </c>
      <c r="E24" s="24" t="str">
        <f aca="false">IFERROR(IF(OR(C24="",D24=""),"",MOD(ROUND(C24+D24,0)+360,360)),"")</f>
        <v/>
      </c>
      <c r="F24" s="25"/>
      <c r="G24" s="24" t="str">
        <f aca="false">IFERROR(IF(OR(C24="",$F$8=""),"",ROUND($F$8*COS(RADIANS(D24))-$F$6*COS(RADIANS($F$5-C24)),0)),"")</f>
        <v/>
      </c>
      <c r="H24" s="24" t="str">
        <f aca="false">IFERROR(IF(OR(F24="",G24="",G24&lt;=0),"",ROUND(F24/G24*60,0)),"")</f>
        <v/>
      </c>
      <c r="I24" s="26" t="str">
        <f aca="false">IFERROR(IF(OR(H24="",I23=""),"",I23+H24/1440),"")</f>
        <v/>
      </c>
      <c r="J24" s="27"/>
      <c r="K24" s="23"/>
      <c r="L24" s="23"/>
    </row>
    <row r="25" customFormat="false" ht="18" hidden="false" customHeight="true" outlineLevel="0" collapsed="false">
      <c r="A25" s="14"/>
      <c r="B25" s="15"/>
      <c r="C25" s="16"/>
      <c r="D25" s="17" t="str">
        <f aca="false">IFERROR(IF(OR(C25="",$F$6="",$F$8=""),"",ROUND(DEGREES(ASIN($F$6*SIN(RADIANS($F$5-C25))/$F$8)),0)),"")</f>
        <v/>
      </c>
      <c r="E25" s="17" t="str">
        <f aca="false">IFERROR(IF(OR(C25="",D25=""),"",MOD(ROUND(C25+D25,0)+360,360)),"")</f>
        <v/>
      </c>
      <c r="F25" s="18"/>
      <c r="G25" s="17" t="str">
        <f aca="false">IFERROR(IF(OR(C25="",$F$8=""),"",ROUND($F$8*COS(RADIANS(D25))-$F$6*COS(RADIANS($F$5-C25)),0)),"")</f>
        <v/>
      </c>
      <c r="H25" s="17" t="str">
        <f aca="false">IFERROR(IF(OR(F25="",G25="",G25&lt;=0),"",ROUND(F25/G25*60,0)),"")</f>
        <v/>
      </c>
      <c r="I25" s="19" t="str">
        <f aca="false">IFERROR(IF(OR(H25="",I24=""),"",I24+H25/1440),"")</f>
        <v/>
      </c>
      <c r="J25" s="20"/>
      <c r="K25" s="16"/>
      <c r="L25" s="16"/>
    </row>
    <row r="26" customFormat="false" ht="18" hidden="false" customHeight="true" outlineLevel="0" collapsed="false">
      <c r="A26" s="21"/>
      <c r="B26" s="22"/>
      <c r="C26" s="23"/>
      <c r="D26" s="24" t="str">
        <f aca="false">IFERROR(IF(OR(C26="",$F$6="",$F$8=""),"",ROUND(DEGREES(ASIN($F$6*SIN(RADIANS($F$5-C26))/$F$8)),0)),"")</f>
        <v/>
      </c>
      <c r="E26" s="24" t="str">
        <f aca="false">IFERROR(IF(OR(C26="",D26=""),"",MOD(ROUND(C26+D26,0)+360,360)),"")</f>
        <v/>
      </c>
      <c r="F26" s="25"/>
      <c r="G26" s="24" t="str">
        <f aca="false">IFERROR(IF(OR(C26="",$F$8=""),"",ROUND($F$8*COS(RADIANS(D26))-$F$6*COS(RADIANS($F$5-C26)),0)),"")</f>
        <v/>
      </c>
      <c r="H26" s="24" t="str">
        <f aca="false">IFERROR(IF(OR(F26="",G26="",G26&lt;=0),"",ROUND(F26/G26*60,0)),"")</f>
        <v/>
      </c>
      <c r="I26" s="26" t="str">
        <f aca="false">IFERROR(IF(OR(H26="",I25=""),"",I25+H26/1440),"")</f>
        <v/>
      </c>
      <c r="J26" s="27"/>
      <c r="K26" s="23"/>
      <c r="L26" s="23"/>
    </row>
    <row r="27" customFormat="false" ht="18" hidden="false" customHeight="true" outlineLevel="0" collapsed="false">
      <c r="A27" s="14"/>
      <c r="B27" s="15"/>
      <c r="C27" s="16"/>
      <c r="D27" s="17" t="str">
        <f aca="false">IFERROR(IF(OR(C27="",$F$6="",$F$8=""),"",ROUND(DEGREES(ASIN($F$6*SIN(RADIANS($F$5-C27))/$F$8)),0)),"")</f>
        <v/>
      </c>
      <c r="E27" s="17" t="str">
        <f aca="false">IFERROR(IF(OR(C27="",D27=""),"",MOD(ROUND(C27+D27,0)+360,360)),"")</f>
        <v/>
      </c>
      <c r="F27" s="18"/>
      <c r="G27" s="17" t="str">
        <f aca="false">IFERROR(IF(OR(C27="",$F$8=""),"",ROUND($F$8*COS(RADIANS(D27))-$F$6*COS(RADIANS($F$5-C27)),0)),"")</f>
        <v/>
      </c>
      <c r="H27" s="17" t="str">
        <f aca="false">IFERROR(IF(OR(F27="",G27="",G27&lt;=0),"",ROUND(F27/G27*60,0)),"")</f>
        <v/>
      </c>
      <c r="I27" s="19" t="str">
        <f aca="false">IFERROR(IF(OR(H27="",I26=""),"",I26+H27/1440),"")</f>
        <v/>
      </c>
      <c r="J27" s="20"/>
      <c r="K27" s="16"/>
      <c r="L27" s="16"/>
    </row>
    <row r="28" customFormat="false" ht="18" hidden="false" customHeight="true" outlineLevel="0" collapsed="false">
      <c r="A28" s="21"/>
      <c r="B28" s="22"/>
      <c r="C28" s="23"/>
      <c r="D28" s="24" t="str">
        <f aca="false">IFERROR(IF(OR(C28="",$F$6="",$F$8=""),"",ROUND(DEGREES(ASIN($F$6*SIN(RADIANS($F$5-C28))/$F$8)),0)),"")</f>
        <v/>
      </c>
      <c r="E28" s="24" t="str">
        <f aca="false">IFERROR(IF(OR(C28="",D28=""),"",MOD(ROUND(C28+D28,0)+360,360)),"")</f>
        <v/>
      </c>
      <c r="F28" s="25"/>
      <c r="G28" s="24" t="str">
        <f aca="false">IFERROR(IF(OR(C28="",$F$8=""),"",ROUND($F$8*COS(RADIANS(D28))-$F$6*COS(RADIANS($F$5-C28)),0)),"")</f>
        <v/>
      </c>
      <c r="H28" s="24" t="str">
        <f aca="false">IFERROR(IF(OR(F28="",G28="",G28&lt;=0),"",ROUND(F28/G28*60,0)),"")</f>
        <v/>
      </c>
      <c r="I28" s="26" t="str">
        <f aca="false">IFERROR(IF(OR(H28="",I27=""),"",I27+H28/1440),"")</f>
        <v/>
      </c>
      <c r="J28" s="27"/>
      <c r="K28" s="23"/>
      <c r="L28" s="23"/>
    </row>
    <row r="29" customFormat="false" ht="18" hidden="false" customHeight="true" outlineLevel="0" collapsed="false">
      <c r="A29" s="14"/>
      <c r="B29" s="15"/>
      <c r="C29" s="16"/>
      <c r="D29" s="17" t="str">
        <f aca="false">IFERROR(IF(OR(C29="",$F$6="",$F$8=""),"",ROUND(DEGREES(ASIN($F$6*SIN(RADIANS($F$5-C29))/$F$8)),0)),"")</f>
        <v/>
      </c>
      <c r="E29" s="17" t="str">
        <f aca="false">IFERROR(IF(OR(C29="",D29=""),"",MOD(ROUND(C29+D29,0)+360,360)),"")</f>
        <v/>
      </c>
      <c r="F29" s="18"/>
      <c r="G29" s="17" t="str">
        <f aca="false">IFERROR(IF(OR(C29="",$F$8=""),"",ROUND($F$8*COS(RADIANS(D29))-$F$6*COS(RADIANS($F$5-C29)),0)),"")</f>
        <v/>
      </c>
      <c r="H29" s="17" t="str">
        <f aca="false">IFERROR(IF(OR(F29="",G29="",G29&lt;=0),"",ROUND(F29/G29*60,0)),"")</f>
        <v/>
      </c>
      <c r="I29" s="19" t="str">
        <f aca="false">IFERROR(IF(OR(H29="",I28=""),"",I28+H29/1440),"")</f>
        <v/>
      </c>
      <c r="J29" s="20"/>
      <c r="K29" s="16"/>
      <c r="L29" s="16"/>
    </row>
    <row r="30" customFormat="false" ht="21.75" hidden="false" customHeight="true" outlineLevel="0" collapsed="false">
      <c r="A30" s="28" t="s">
        <v>40</v>
      </c>
      <c r="B30" s="29"/>
      <c r="C30" s="29"/>
      <c r="D30" s="29"/>
      <c r="E30" s="29"/>
      <c r="F30" s="30" t="n">
        <f aca="false">SUM(F15:F29)</f>
        <v>0</v>
      </c>
      <c r="G30" s="29"/>
      <c r="H30" s="31" t="n">
        <f aca="false">SUM(H15:H29)</f>
        <v>0</v>
      </c>
      <c r="I30" s="32" t="str">
        <f aca="false">IFERROR(LOOKUP(2,1/(I15:I29&lt;&gt;""),I15:I29),"")</f>
        <v/>
      </c>
      <c r="J30" s="33"/>
      <c r="K30" s="33"/>
      <c r="L30" s="33"/>
    </row>
    <row r="31" customFormat="false" ht="13.5" hidden="false" customHeight="true" outlineLevel="0" collapsed="false">
      <c r="A31" s="34" t="s">
        <v>41</v>
      </c>
      <c r="B31" s="34"/>
      <c r="C31" s="34"/>
      <c r="D31" s="34"/>
      <c r="E31" s="34"/>
      <c r="F31" s="34"/>
      <c r="G31" s="34" t="s">
        <v>42</v>
      </c>
      <c r="H31" s="34"/>
      <c r="I31" s="34"/>
      <c r="J31" s="34"/>
      <c r="K31" s="34"/>
      <c r="L31" s="34"/>
    </row>
    <row r="32" customFormat="false" ht="21.75" hidden="false" customHeight="true" outlineLevel="0" collapsed="false">
      <c r="A32" s="35" t="s">
        <v>43</v>
      </c>
      <c r="B32" s="35"/>
      <c r="C32" s="35"/>
      <c r="D32" s="36" t="n">
        <f aca="false">IFERROR(ROUND(H30/60*$F$11,1),"")</f>
        <v>0</v>
      </c>
      <c r="E32" s="37"/>
      <c r="F32" s="37"/>
      <c r="G32" s="35" t="s">
        <v>44</v>
      </c>
      <c r="H32" s="35"/>
      <c r="I32" s="9"/>
      <c r="J32" s="9"/>
      <c r="K32" s="9"/>
      <c r="L32" s="9"/>
    </row>
    <row r="33" customFormat="false" ht="21.75" hidden="false" customHeight="true" outlineLevel="0" collapsed="false">
      <c r="A33" s="35" t="s">
        <v>45</v>
      </c>
      <c r="B33" s="35"/>
      <c r="C33" s="35"/>
      <c r="D33" s="36" t="n">
        <f aca="false">IFERROR(ROUND(30/60*$F$11,1),"")</f>
        <v>0</v>
      </c>
      <c r="E33" s="37"/>
      <c r="F33" s="37"/>
      <c r="G33" s="35" t="s">
        <v>46</v>
      </c>
      <c r="H33" s="35"/>
      <c r="I33" s="9"/>
      <c r="J33" s="9"/>
      <c r="K33" s="9"/>
      <c r="L33" s="9"/>
    </row>
    <row r="34" customFormat="false" ht="21.75" hidden="false" customHeight="true" outlineLevel="0" collapsed="false">
      <c r="A34" s="35" t="s">
        <v>47</v>
      </c>
      <c r="B34" s="35"/>
      <c r="C34" s="35"/>
      <c r="D34" s="38" t="n">
        <f aca="false">IFERROR(D32+D33,"")</f>
        <v>0</v>
      </c>
      <c r="E34" s="37"/>
      <c r="F34" s="37"/>
      <c r="G34" s="35" t="s">
        <v>48</v>
      </c>
      <c r="H34" s="35"/>
      <c r="I34" s="9"/>
      <c r="J34" s="9"/>
      <c r="K34" s="9"/>
      <c r="L34" s="9"/>
    </row>
    <row r="35" customFormat="false" ht="18" hidden="false" customHeight="true" outlineLevel="0" collapsed="false">
      <c r="A35" s="34" t="s">
        <v>49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</row>
    <row r="36" customFormat="false" ht="21.7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21.7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3.5" hidden="false" customHeight="true" outlineLevel="0" collapsed="false">
      <c r="A38" s="3" t="s">
        <v>50</v>
      </c>
      <c r="B38" s="3"/>
      <c r="C38" s="3"/>
      <c r="D38" s="3"/>
      <c r="E38" s="3"/>
      <c r="F38" s="3"/>
      <c r="G38" s="3" t="s">
        <v>51</v>
      </c>
      <c r="H38" s="3"/>
      <c r="I38" s="3"/>
      <c r="J38" s="3"/>
      <c r="K38" s="3"/>
      <c r="L38" s="3"/>
    </row>
    <row r="39" customFormat="false" ht="27.75" hidden="false" customHeight="true" outlineLevel="0" collapsed="false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</sheetData>
  <mergeCells count="68">
    <mergeCell ref="A1:B1"/>
    <mergeCell ref="C1:L1"/>
    <mergeCell ref="C2:D2"/>
    <mergeCell ref="E2:F2"/>
    <mergeCell ref="G2:H2"/>
    <mergeCell ref="I2:J2"/>
    <mergeCell ref="K2:L2"/>
    <mergeCell ref="C3:D3"/>
    <mergeCell ref="E3:F3"/>
    <mergeCell ref="G3:H3"/>
    <mergeCell ref="I3:J3"/>
    <mergeCell ref="K3:L3"/>
    <mergeCell ref="A4:C4"/>
    <mergeCell ref="D4:G4"/>
    <mergeCell ref="H4:L4"/>
    <mergeCell ref="A5:C12"/>
    <mergeCell ref="D5:E5"/>
    <mergeCell ref="F5:G5"/>
    <mergeCell ref="H5:I5"/>
    <mergeCell ref="J5:L5"/>
    <mergeCell ref="D6:E6"/>
    <mergeCell ref="F6:G6"/>
    <mergeCell ref="H6:I6"/>
    <mergeCell ref="J6:L6"/>
    <mergeCell ref="D7:E7"/>
    <mergeCell ref="F7:G7"/>
    <mergeCell ref="H7:I7"/>
    <mergeCell ref="J7:L7"/>
    <mergeCell ref="D8:E8"/>
    <mergeCell ref="F8:G8"/>
    <mergeCell ref="H8:I8"/>
    <mergeCell ref="J8:L8"/>
    <mergeCell ref="D9:E9"/>
    <mergeCell ref="F9:G9"/>
    <mergeCell ref="H9:I9"/>
    <mergeCell ref="J9:L9"/>
    <mergeCell ref="D10:E10"/>
    <mergeCell ref="F10:G10"/>
    <mergeCell ref="H10:I10"/>
    <mergeCell ref="J10:L10"/>
    <mergeCell ref="D11:E11"/>
    <mergeCell ref="F11:G11"/>
    <mergeCell ref="H11:I11"/>
    <mergeCell ref="J11:L11"/>
    <mergeCell ref="D12:E12"/>
    <mergeCell ref="F12:G12"/>
    <mergeCell ref="H12:I12"/>
    <mergeCell ref="J12:L12"/>
    <mergeCell ref="A31:F31"/>
    <mergeCell ref="G31:L31"/>
    <mergeCell ref="A32:C32"/>
    <mergeCell ref="E32:F32"/>
    <mergeCell ref="G32:H32"/>
    <mergeCell ref="I32:L32"/>
    <mergeCell ref="A33:C33"/>
    <mergeCell ref="E33:F33"/>
    <mergeCell ref="G33:H33"/>
    <mergeCell ref="I33:L33"/>
    <mergeCell ref="A34:C34"/>
    <mergeCell ref="E34:F34"/>
    <mergeCell ref="G34:H34"/>
    <mergeCell ref="I34:L34"/>
    <mergeCell ref="A35:L35"/>
    <mergeCell ref="A36:L37"/>
    <mergeCell ref="A38:F38"/>
    <mergeCell ref="G38:L38"/>
    <mergeCell ref="A39:F39"/>
    <mergeCell ref="G39:L3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7" min="3" style="0" width="8"/>
    <col collapsed="false" customWidth="true" hidden="false" outlineLevel="0" max="10" min="8" style="0" width="9"/>
    <col collapsed="false" customWidth="true" hidden="false" outlineLevel="0" max="12" min="11" style="0" width="8"/>
  </cols>
  <sheetData>
    <row r="1" customFormat="false" ht="36" hidden="false" customHeight="true" outlineLevel="0" collapsed="false">
      <c r="A1" s="1" t="s">
        <v>0</v>
      </c>
      <c r="B1" s="1"/>
      <c r="C1" s="2" t="s">
        <v>1</v>
      </c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true" outlineLevel="0" collapsed="false">
      <c r="A2" s="3" t="s">
        <v>2</v>
      </c>
      <c r="B2" s="3" t="s">
        <v>3</v>
      </c>
      <c r="C2" s="3" t="s">
        <v>4</v>
      </c>
      <c r="D2" s="3"/>
      <c r="E2" s="3" t="s">
        <v>5</v>
      </c>
      <c r="F2" s="3"/>
      <c r="G2" s="3" t="s">
        <v>6</v>
      </c>
      <c r="H2" s="3"/>
      <c r="I2" s="3" t="s">
        <v>7</v>
      </c>
      <c r="J2" s="3"/>
      <c r="K2" s="3" t="s">
        <v>8</v>
      </c>
      <c r="L2" s="3"/>
    </row>
    <row r="3" customFormat="false" ht="21.75" hidden="false" customHeight="true" outlineLevel="0" collapsed="false">
      <c r="A3" s="4" t="s">
        <v>52</v>
      </c>
      <c r="B3" s="4" t="s">
        <v>53</v>
      </c>
      <c r="C3" s="4" t="s">
        <v>53</v>
      </c>
      <c r="D3" s="4"/>
      <c r="E3" s="4" t="s">
        <v>54</v>
      </c>
      <c r="F3" s="4"/>
      <c r="G3" s="4" t="s">
        <v>55</v>
      </c>
      <c r="H3" s="4"/>
      <c r="I3" s="4" t="s">
        <v>56</v>
      </c>
      <c r="J3" s="4"/>
      <c r="K3" s="4" t="s">
        <v>56</v>
      </c>
      <c r="L3" s="4"/>
    </row>
    <row r="4" customFormat="false" ht="19.5" hidden="false" customHeight="true" outlineLevel="0" collapsed="false">
      <c r="A4" s="5" t="s">
        <v>9</v>
      </c>
      <c r="B4" s="5"/>
      <c r="C4" s="5"/>
      <c r="D4" s="5" t="s">
        <v>10</v>
      </c>
      <c r="E4" s="5"/>
      <c r="F4" s="5"/>
      <c r="G4" s="5"/>
      <c r="H4" s="5" t="s">
        <v>11</v>
      </c>
      <c r="I4" s="5"/>
      <c r="J4" s="5"/>
      <c r="K4" s="5"/>
      <c r="L4" s="5"/>
    </row>
    <row r="5" customFormat="false" ht="16.5" hidden="false" customHeight="true" outlineLevel="0" collapsed="false">
      <c r="A5" s="6" t="s">
        <v>57</v>
      </c>
      <c r="B5" s="6"/>
      <c r="C5" s="6"/>
      <c r="D5" s="7" t="s">
        <v>12</v>
      </c>
      <c r="E5" s="7"/>
      <c r="F5" s="8" t="n">
        <v>40</v>
      </c>
      <c r="G5" s="8"/>
      <c r="H5" s="7" t="s">
        <v>13</v>
      </c>
      <c r="I5" s="7"/>
      <c r="J5" s="9" t="s">
        <v>58</v>
      </c>
      <c r="K5" s="9"/>
      <c r="L5" s="9"/>
    </row>
    <row r="6" customFormat="false" ht="16.5" hidden="false" customHeight="true" outlineLevel="0" collapsed="false">
      <c r="A6" s="6"/>
      <c r="B6" s="6"/>
      <c r="C6" s="6"/>
      <c r="D6" s="7" t="s">
        <v>14</v>
      </c>
      <c r="E6" s="7"/>
      <c r="F6" s="8" t="n">
        <v>10</v>
      </c>
      <c r="G6" s="8"/>
      <c r="H6" s="7" t="s">
        <v>15</v>
      </c>
      <c r="I6" s="7"/>
      <c r="J6" s="9" t="s">
        <v>58</v>
      </c>
      <c r="K6" s="9"/>
      <c r="L6" s="9"/>
    </row>
    <row r="7" customFormat="false" ht="16.5" hidden="false" customHeight="true" outlineLevel="0" collapsed="false">
      <c r="A7" s="6"/>
      <c r="B7" s="6"/>
      <c r="C7" s="6"/>
      <c r="D7" s="7" t="s">
        <v>16</v>
      </c>
      <c r="E7" s="7"/>
      <c r="F7" s="8" t="n">
        <v>90</v>
      </c>
      <c r="G7" s="8"/>
      <c r="H7" s="7" t="s">
        <v>17</v>
      </c>
      <c r="I7" s="7"/>
      <c r="J7" s="9"/>
      <c r="K7" s="9"/>
      <c r="L7" s="9"/>
    </row>
    <row r="8" customFormat="false" ht="16.5" hidden="false" customHeight="true" outlineLevel="0" collapsed="false">
      <c r="A8" s="6"/>
      <c r="B8" s="6"/>
      <c r="C8" s="6"/>
      <c r="D8" s="7" t="s">
        <v>18</v>
      </c>
      <c r="E8" s="7"/>
      <c r="F8" s="10" t="n">
        <f aca="false">IFERROR(IF(OR(F7="",L15=""),F7,F7*(1+0.02*L15/1000)),F7)</f>
        <v>93.6</v>
      </c>
      <c r="G8" s="10"/>
      <c r="H8" s="7" t="s">
        <v>19</v>
      </c>
      <c r="I8" s="7"/>
      <c r="J8" s="9"/>
      <c r="K8" s="9"/>
      <c r="L8" s="9"/>
    </row>
    <row r="9" customFormat="false" ht="16.5" hidden="false" customHeight="true" outlineLevel="0" collapsed="false">
      <c r="A9" s="6"/>
      <c r="B9" s="6"/>
      <c r="C9" s="6"/>
      <c r="D9" s="7" t="s">
        <v>20</v>
      </c>
      <c r="E9" s="7"/>
      <c r="F9" s="8" t="n">
        <v>65</v>
      </c>
      <c r="G9" s="8"/>
      <c r="H9" s="7" t="s">
        <v>21</v>
      </c>
      <c r="I9" s="7"/>
      <c r="J9" s="9"/>
      <c r="K9" s="9"/>
      <c r="L9" s="9"/>
    </row>
    <row r="10" customFormat="false" ht="16.5" hidden="false" customHeight="true" outlineLevel="0" collapsed="false">
      <c r="A10" s="6"/>
      <c r="B10" s="6"/>
      <c r="C10" s="6"/>
      <c r="D10" s="7" t="s">
        <v>22</v>
      </c>
      <c r="E10" s="7"/>
      <c r="F10" s="8" t="n">
        <v>55</v>
      </c>
      <c r="G10" s="8"/>
      <c r="H10" s="7" t="s">
        <v>23</v>
      </c>
      <c r="I10" s="7"/>
      <c r="J10" s="9"/>
      <c r="K10" s="9"/>
      <c r="L10" s="9"/>
    </row>
    <row r="11" customFormat="false" ht="16.5" hidden="false" customHeight="true" outlineLevel="0" collapsed="false">
      <c r="A11" s="6"/>
      <c r="B11" s="6"/>
      <c r="C11" s="6"/>
      <c r="D11" s="7" t="s">
        <v>24</v>
      </c>
      <c r="E11" s="7"/>
      <c r="F11" s="11" t="n">
        <v>18</v>
      </c>
      <c r="G11" s="11"/>
      <c r="H11" s="7" t="s">
        <v>25</v>
      </c>
      <c r="I11" s="7"/>
      <c r="J11" s="9"/>
      <c r="K11" s="9"/>
      <c r="L11" s="9"/>
    </row>
    <row r="12" customFormat="false" ht="16.5" hidden="false" customHeight="true" outlineLevel="0" collapsed="false">
      <c r="A12" s="6"/>
      <c r="B12" s="6"/>
      <c r="C12" s="6"/>
      <c r="D12" s="7" t="s">
        <v>26</v>
      </c>
      <c r="E12" s="7"/>
      <c r="F12" s="8" t="n">
        <v>19</v>
      </c>
      <c r="G12" s="8"/>
      <c r="H12" s="7" t="s">
        <v>27</v>
      </c>
      <c r="I12" s="7"/>
      <c r="J12" s="9"/>
      <c r="K12" s="9"/>
      <c r="L12" s="9"/>
    </row>
    <row r="13" customFormat="false" ht="6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customFormat="false" ht="31.5" hidden="false" customHeight="true" outlineLevel="0" collapsed="false">
      <c r="A14" s="13" t="s">
        <v>28</v>
      </c>
      <c r="B14" s="13" t="s">
        <v>29</v>
      </c>
      <c r="C14" s="13" t="s">
        <v>30</v>
      </c>
      <c r="D14" s="13" t="s">
        <v>31</v>
      </c>
      <c r="E14" s="13" t="s">
        <v>32</v>
      </c>
      <c r="F14" s="13" t="s">
        <v>33</v>
      </c>
      <c r="G14" s="13" t="s">
        <v>34</v>
      </c>
      <c r="H14" s="13" t="s">
        <v>35</v>
      </c>
      <c r="I14" s="13" t="s">
        <v>36</v>
      </c>
      <c r="J14" s="13" t="s">
        <v>37</v>
      </c>
      <c r="K14" s="13" t="s">
        <v>38</v>
      </c>
      <c r="L14" s="13" t="s">
        <v>39</v>
      </c>
    </row>
    <row r="15" customFormat="false" ht="18" hidden="false" customHeight="true" outlineLevel="0" collapsed="false">
      <c r="A15" s="14" t="s">
        <v>53</v>
      </c>
      <c r="B15" s="15" t="s">
        <v>58</v>
      </c>
      <c r="C15" s="16" t="n">
        <v>282</v>
      </c>
      <c r="D15" s="17" t="n">
        <f aca="false">IFERROR(IF(OR(C15="",$F$6="",$F$8=""),"",ROUND(DEGREES(ASIN($F$6*SIN(RADIANS($F$5-C15))/$F$8)),0)),"")</f>
        <v>5</v>
      </c>
      <c r="E15" s="17" t="n">
        <f aca="false">IFERROR(IF(OR(C15="",D15=""),"",MOD(ROUND(C15+D15,0)+360,360)),"")</f>
        <v>287</v>
      </c>
      <c r="F15" s="18" t="n">
        <v>10</v>
      </c>
      <c r="G15" s="17" t="n">
        <f aca="false">IFERROR(IF(OR(C15="",$F$8=""),"",ROUND($F$8*COS(RADIANS(D15))-$F$6*COS(RADIANS($F$5-C15)),0)),"")</f>
        <v>98</v>
      </c>
      <c r="H15" s="17" t="n">
        <f aca="false">IFERROR(IF(OR(F15="",G15="",G15&lt;=0),"",ROUND(F15/G15*60,0)),"")</f>
        <v>6</v>
      </c>
      <c r="I15" s="19" t="str">
        <f aca="false">IFERROR(IF(OR(H15="",$J$7=""),"",$J$7+H15/1440),"")</f>
        <v/>
      </c>
      <c r="J15" s="20"/>
      <c r="K15" s="16"/>
      <c r="L15" s="16" t="n">
        <v>2000</v>
      </c>
    </row>
    <row r="16" customFormat="false" ht="18" hidden="false" customHeight="true" outlineLevel="0" collapsed="false">
      <c r="A16" s="21" t="s">
        <v>59</v>
      </c>
      <c r="B16" s="22" t="s">
        <v>60</v>
      </c>
      <c r="C16" s="23"/>
      <c r="D16" s="24" t="str">
        <f aca="false">IFERROR(IF(OR(C16="",$F$6="",$F$8=""),"",ROUND(DEGREES(ASIN($F$6*SIN(RADIANS($F$5-C16))/$F$8)),0)),"")</f>
        <v/>
      </c>
      <c r="E16" s="24" t="str">
        <f aca="false">IFERROR(IF(OR(C16="",D16=""),"",MOD(ROUND(C16+D16,0)+360,360)),"")</f>
        <v/>
      </c>
      <c r="F16" s="25"/>
      <c r="G16" s="24" t="str">
        <f aca="false">IFERROR(IF(OR(C16="",$F$8=""),"",ROUND($F$8*COS(RADIANS(D16))-$F$6*COS(RADIANS($F$5-C16)),0)),"")</f>
        <v/>
      </c>
      <c r="H16" s="24" t="str">
        <f aca="false">IFERROR(IF(OR(F16="",G16="",G16&lt;=0),"",ROUND(F16/G16*60,0)),"")</f>
        <v/>
      </c>
      <c r="I16" s="26" t="str">
        <f aca="false">IFERROR(IF(OR(H16="",I15=""),"",I15+H16/1440),"")</f>
        <v/>
      </c>
      <c r="J16" s="27"/>
      <c r="K16" s="23"/>
      <c r="L16" s="23" t="n">
        <v>2000</v>
      </c>
    </row>
    <row r="17" customFormat="false" ht="18" hidden="false" customHeight="true" outlineLevel="0" collapsed="false">
      <c r="A17" s="14" t="s">
        <v>61</v>
      </c>
      <c r="B17" s="15" t="s">
        <v>62</v>
      </c>
      <c r="C17" s="16" t="n">
        <v>301</v>
      </c>
      <c r="D17" s="17" t="n">
        <f aca="false">IFERROR(IF(OR(C17="",$F$6="",$F$8=""),"",ROUND(DEGREES(ASIN($F$6*SIN(RADIANS($F$5-C17))/$F$8)),0)),"")</f>
        <v>6</v>
      </c>
      <c r="E17" s="17" t="n">
        <f aca="false">IFERROR(IF(OR(C17="",D17=""),"",MOD(ROUND(C17+D17,0)+360,360)),"")</f>
        <v>307</v>
      </c>
      <c r="F17" s="18" t="n">
        <v>7</v>
      </c>
      <c r="G17" s="17" t="n">
        <f aca="false">IFERROR(IF(OR(C17="",$F$8=""),"",ROUND($F$8*COS(RADIANS(D17))-$F$6*COS(RADIANS($F$5-C17)),0)),"")</f>
        <v>95</v>
      </c>
      <c r="H17" s="17" t="n">
        <f aca="false">IFERROR(IF(OR(F17="",G17="",G17&lt;=0),"",ROUND(F17/G17*60,0)),"")</f>
        <v>4</v>
      </c>
      <c r="I17" s="19" t="str">
        <f aca="false">IFERROR(IF(OR(H17="",I16=""),"",I16+H17/1440),"")</f>
        <v/>
      </c>
      <c r="J17" s="20"/>
      <c r="K17" s="16"/>
      <c r="L17" s="16" t="n">
        <v>1800</v>
      </c>
    </row>
    <row r="18" customFormat="false" ht="18" hidden="false" customHeight="true" outlineLevel="0" collapsed="false">
      <c r="A18" s="21" t="s">
        <v>63</v>
      </c>
      <c r="B18" s="22" t="s">
        <v>64</v>
      </c>
      <c r="C18" s="23" t="n">
        <v>12</v>
      </c>
      <c r="D18" s="24" t="n">
        <f aca="false">IFERROR(IF(OR(C18="",$F$6="",$F$8=""),"",ROUND(DEGREES(ASIN($F$6*SIN(RADIANS($F$5-C18))/$F$8)),0)),"")</f>
        <v>3</v>
      </c>
      <c r="E18" s="24" t="n">
        <f aca="false">IFERROR(IF(OR(C18="",D18=""),"",MOD(ROUND(C18+D18,0)+360,360)),"")</f>
        <v>15</v>
      </c>
      <c r="F18" s="25" t="n">
        <v>18</v>
      </c>
      <c r="G18" s="24" t="n">
        <f aca="false">IFERROR(IF(OR(C18="",$F$8=""),"",ROUND($F$8*COS(RADIANS(D18))-$F$6*COS(RADIANS($F$5-C18)),0)),"")</f>
        <v>85</v>
      </c>
      <c r="H18" s="24" t="n">
        <f aca="false">IFERROR(IF(OR(F18="",G18="",G18&lt;=0),"",ROUND(F18/G18*60,0)),"")</f>
        <v>13</v>
      </c>
      <c r="I18" s="26" t="str">
        <f aca="false">IFERROR(IF(OR(H18="",I17=""),"",I17+H18/1440),"")</f>
        <v/>
      </c>
      <c r="J18" s="27"/>
      <c r="K18" s="23"/>
      <c r="L18" s="23" t="n">
        <v>1800</v>
      </c>
    </row>
    <row r="19" customFormat="false" ht="18" hidden="false" customHeight="true" outlineLevel="0" collapsed="false">
      <c r="A19" s="14" t="s">
        <v>65</v>
      </c>
      <c r="B19" s="15"/>
      <c r="C19" s="16"/>
      <c r="D19" s="17" t="str">
        <f aca="false">IFERROR(IF(OR(C19="",$F$6="",$F$8=""),"",ROUND(DEGREES(ASIN($F$6*SIN(RADIANS($F$5-C19))/$F$8)),0)),"")</f>
        <v/>
      </c>
      <c r="E19" s="17" t="str">
        <f aca="false">IFERROR(IF(OR(C19="",D19=""),"",MOD(ROUND(C19+D19,0)+360,360)),"")</f>
        <v/>
      </c>
      <c r="F19" s="18"/>
      <c r="G19" s="17" t="str">
        <f aca="false">IFERROR(IF(OR(C19="",$F$8=""),"",ROUND($F$8*COS(RADIANS(D19))-$F$6*COS(RADIANS($F$5-C19)),0)),"")</f>
        <v/>
      </c>
      <c r="H19" s="17" t="str">
        <f aca="false">IFERROR(IF(OR(F19="",G19="",G19&lt;=0),"",ROUND(F19/G19*60,0)),"")</f>
        <v/>
      </c>
      <c r="I19" s="19" t="str">
        <f aca="false">IFERROR(IF(OR(H19="",I18=""),"",I18+H19/1440),"")</f>
        <v/>
      </c>
      <c r="J19" s="20"/>
      <c r="K19" s="16"/>
      <c r="L19" s="16" t="n">
        <v>2500</v>
      </c>
    </row>
    <row r="20" customFormat="false" ht="18" hidden="false" customHeight="true" outlineLevel="0" collapsed="false">
      <c r="A20" s="21" t="s">
        <v>66</v>
      </c>
      <c r="B20" s="22" t="s">
        <v>67</v>
      </c>
      <c r="C20" s="23"/>
      <c r="D20" s="24" t="str">
        <f aca="false">IFERROR(IF(OR(C20="",$F$6="",$F$8=""),"",ROUND(DEGREES(ASIN($F$6*SIN(RADIANS($F$5-C20))/$F$8)),0)),"")</f>
        <v/>
      </c>
      <c r="E20" s="24" t="str">
        <f aca="false">IFERROR(IF(OR(C20="",D20=""),"",MOD(ROUND(C20+D20,0)+360,360)),"")</f>
        <v/>
      </c>
      <c r="F20" s="25"/>
      <c r="G20" s="24" t="str">
        <f aca="false">IFERROR(IF(OR(C20="",$F$8=""),"",ROUND($F$8*COS(RADIANS(D20))-$F$6*COS(RADIANS($F$5-C20)),0)),"")</f>
        <v/>
      </c>
      <c r="H20" s="24" t="str">
        <f aca="false">IFERROR(IF(OR(F20="",G20="",G20&lt;=0),"",ROUND(F20/G20*60,0)),"")</f>
        <v/>
      </c>
      <c r="I20" s="26" t="str">
        <f aca="false">IFERROR(IF(OR(H20="",I19=""),"",I19+H20/1440),"")</f>
        <v/>
      </c>
      <c r="J20" s="27"/>
      <c r="K20" s="23"/>
      <c r="L20" s="23" t="n">
        <v>2500</v>
      </c>
    </row>
    <row r="21" customFormat="false" ht="18" hidden="false" customHeight="true" outlineLevel="0" collapsed="false">
      <c r="A21" s="14" t="s">
        <v>68</v>
      </c>
      <c r="B21" s="15"/>
      <c r="C21" s="16"/>
      <c r="D21" s="17" t="str">
        <f aca="false">IFERROR(IF(OR(C21="",$F$6="",$F$8=""),"",ROUND(DEGREES(ASIN($F$6*SIN(RADIANS($F$5-C21))/$F$8)),0)),"")</f>
        <v/>
      </c>
      <c r="E21" s="17" t="str">
        <f aca="false">IFERROR(IF(OR(C21="",D21=""),"",MOD(ROUND(C21+D21,0)+360,360)),"")</f>
        <v/>
      </c>
      <c r="F21" s="18"/>
      <c r="G21" s="17" t="str">
        <f aca="false">IFERROR(IF(OR(C21="",$F$8=""),"",ROUND($F$8*COS(RADIANS(D21))-$F$6*COS(RADIANS($F$5-C21)),0)),"")</f>
        <v/>
      </c>
      <c r="H21" s="17" t="str">
        <f aca="false">IFERROR(IF(OR(F21="",G21="",G21&lt;=0),"",ROUND(F21/G21*60,0)),"")</f>
        <v/>
      </c>
      <c r="I21" s="19" t="str">
        <f aca="false">IFERROR(IF(OR(H21="",I20=""),"",I20+H21/1440),"")</f>
        <v/>
      </c>
      <c r="J21" s="20"/>
      <c r="K21" s="16"/>
      <c r="L21" s="16" t="n">
        <v>2500</v>
      </c>
    </row>
    <row r="22" customFormat="false" ht="18" hidden="false" customHeight="true" outlineLevel="0" collapsed="false">
      <c r="A22" s="21" t="s">
        <v>69</v>
      </c>
      <c r="B22" s="22" t="s">
        <v>70</v>
      </c>
      <c r="C22" s="23"/>
      <c r="D22" s="24" t="str">
        <f aca="false">IFERROR(IF(OR(C22="",$F$6="",$F$8=""),"",ROUND(DEGREES(ASIN($F$6*SIN(RADIANS($F$5-C22))/$F$8)),0)),"")</f>
        <v/>
      </c>
      <c r="E22" s="24" t="str">
        <f aca="false">IFERROR(IF(OR(C22="",D22=""),"",MOD(ROUND(C22+D22,0)+360,360)),"")</f>
        <v/>
      </c>
      <c r="F22" s="25"/>
      <c r="G22" s="24" t="str">
        <f aca="false">IFERROR(IF(OR(C22="",$F$8=""),"",ROUND($F$8*COS(RADIANS(D22))-$F$6*COS(RADIANS($F$5-C22)),0)),"")</f>
        <v/>
      </c>
      <c r="H22" s="24" t="str">
        <f aca="false">IFERROR(IF(OR(F22="",G22="",G22&lt;=0),"",ROUND(F22/G22*60,0)),"")</f>
        <v/>
      </c>
      <c r="I22" s="26" t="str">
        <f aca="false">IFERROR(IF(OR(H22="",I21=""),"",I21+H22/1440),"")</f>
        <v/>
      </c>
      <c r="J22" s="27"/>
      <c r="K22" s="23"/>
      <c r="L22" s="23" t="n">
        <v>2000</v>
      </c>
    </row>
    <row r="23" customFormat="false" ht="18" hidden="false" customHeight="true" outlineLevel="0" collapsed="false">
      <c r="A23" s="14" t="s">
        <v>71</v>
      </c>
      <c r="B23" s="15"/>
      <c r="C23" s="16"/>
      <c r="D23" s="17" t="str">
        <f aca="false">IFERROR(IF(OR(C23="",$F$6="",$F$8=""),"",ROUND(DEGREES(ASIN($F$6*SIN(RADIANS($F$5-C23))/$F$8)),0)),"")</f>
        <v/>
      </c>
      <c r="E23" s="17" t="str">
        <f aca="false">IFERROR(IF(OR(C23="",D23=""),"",MOD(ROUND(C23+D23,0)+360,360)),"")</f>
        <v/>
      </c>
      <c r="F23" s="18"/>
      <c r="G23" s="17" t="str">
        <f aca="false">IFERROR(IF(OR(C23="",$F$8=""),"",ROUND($F$8*COS(RADIANS(D23))-$F$6*COS(RADIANS($F$5-C23)),0)),"")</f>
        <v/>
      </c>
      <c r="H23" s="17" t="str">
        <f aca="false">IFERROR(IF(OR(F23="",G23="",G23&lt;=0),"",ROUND(F23/G23*60,0)),"")</f>
        <v/>
      </c>
      <c r="I23" s="19" t="str">
        <f aca="false">IFERROR(IF(OR(H23="",I22=""),"",I22+H23/1440),"")</f>
        <v/>
      </c>
      <c r="J23" s="20"/>
      <c r="K23" s="16"/>
      <c r="L23" s="16" t="n">
        <v>2000</v>
      </c>
    </row>
    <row r="24" customFormat="false" ht="18" hidden="false" customHeight="true" outlineLevel="0" collapsed="false">
      <c r="A24" s="21"/>
      <c r="B24" s="22"/>
      <c r="C24" s="23"/>
      <c r="D24" s="24" t="str">
        <f aca="false">IFERROR(IF(OR(C24="",$F$6="",$F$8=""),"",ROUND(DEGREES(ASIN($F$6*SIN(RADIANS($F$5-C24))/$F$8)),0)),"")</f>
        <v/>
      </c>
      <c r="E24" s="24" t="str">
        <f aca="false">IFERROR(IF(OR(C24="",D24=""),"",MOD(ROUND(C24+D24,0)+360,360)),"")</f>
        <v/>
      </c>
      <c r="F24" s="25"/>
      <c r="G24" s="24" t="str">
        <f aca="false">IFERROR(IF(OR(C24="",$F$8=""),"",ROUND($F$8*COS(RADIANS(D24))-$F$6*COS(RADIANS($F$5-C24)),0)),"")</f>
        <v/>
      </c>
      <c r="H24" s="24" t="str">
        <f aca="false">IFERROR(IF(OR(F24="",G24="",G24&lt;=0),"",ROUND(F24/G24*60,0)),"")</f>
        <v/>
      </c>
      <c r="I24" s="26" t="str">
        <f aca="false">IFERROR(IF(OR(H24="",I23=""),"",I23+H24/1440),"")</f>
        <v/>
      </c>
      <c r="J24" s="27"/>
      <c r="K24" s="23"/>
      <c r="L24" s="23"/>
    </row>
    <row r="25" customFormat="false" ht="18" hidden="false" customHeight="true" outlineLevel="0" collapsed="false">
      <c r="A25" s="14"/>
      <c r="B25" s="15"/>
      <c r="C25" s="16"/>
      <c r="D25" s="17" t="str">
        <f aca="false">IFERROR(IF(OR(C25="",$F$6="",$F$8=""),"",ROUND(DEGREES(ASIN($F$6*SIN(RADIANS($F$5-C25))/$F$8)),0)),"")</f>
        <v/>
      </c>
      <c r="E25" s="17" t="str">
        <f aca="false">IFERROR(IF(OR(C25="",D25=""),"",MOD(ROUND(C25+D25,0)+360,360)),"")</f>
        <v/>
      </c>
      <c r="F25" s="18"/>
      <c r="G25" s="17" t="str">
        <f aca="false">IFERROR(IF(OR(C25="",$F$8=""),"",ROUND($F$8*COS(RADIANS(D25))-$F$6*COS(RADIANS($F$5-C25)),0)),"")</f>
        <v/>
      </c>
      <c r="H25" s="17" t="str">
        <f aca="false">IFERROR(IF(OR(F25="",G25="",G25&lt;=0),"",ROUND(F25/G25*60,0)),"")</f>
        <v/>
      </c>
      <c r="I25" s="19" t="str">
        <f aca="false">IFERROR(IF(OR(H25="",I24=""),"",I24+H25/1440),"")</f>
        <v/>
      </c>
      <c r="J25" s="20"/>
      <c r="K25" s="16"/>
      <c r="L25" s="16"/>
    </row>
    <row r="26" customFormat="false" ht="18" hidden="false" customHeight="true" outlineLevel="0" collapsed="false">
      <c r="A26" s="21"/>
      <c r="B26" s="22"/>
      <c r="C26" s="23"/>
      <c r="D26" s="24" t="str">
        <f aca="false">IFERROR(IF(OR(C26="",$F$6="",$F$8=""),"",ROUND(DEGREES(ASIN($F$6*SIN(RADIANS($F$5-C26))/$F$8)),0)),"")</f>
        <v/>
      </c>
      <c r="E26" s="24" t="str">
        <f aca="false">IFERROR(IF(OR(C26="",D26=""),"",MOD(ROUND(C26+D26,0)+360,360)),"")</f>
        <v/>
      </c>
      <c r="F26" s="25"/>
      <c r="G26" s="24" t="str">
        <f aca="false">IFERROR(IF(OR(C26="",$F$8=""),"",ROUND($F$8*COS(RADIANS(D26))-$F$6*COS(RADIANS($F$5-C26)),0)),"")</f>
        <v/>
      </c>
      <c r="H26" s="24" t="str">
        <f aca="false">IFERROR(IF(OR(F26="",G26="",G26&lt;=0),"",ROUND(F26/G26*60,0)),"")</f>
        <v/>
      </c>
      <c r="I26" s="26" t="str">
        <f aca="false">IFERROR(IF(OR(H26="",I25=""),"",I25+H26/1440),"")</f>
        <v/>
      </c>
      <c r="J26" s="27"/>
      <c r="K26" s="23"/>
      <c r="L26" s="23"/>
    </row>
    <row r="27" customFormat="false" ht="18" hidden="false" customHeight="true" outlineLevel="0" collapsed="false">
      <c r="A27" s="14"/>
      <c r="B27" s="15"/>
      <c r="C27" s="16"/>
      <c r="D27" s="17" t="str">
        <f aca="false">IFERROR(IF(OR(C27="",$F$6="",$F$8=""),"",ROUND(DEGREES(ASIN($F$6*SIN(RADIANS($F$5-C27))/$F$8)),0)),"")</f>
        <v/>
      </c>
      <c r="E27" s="17" t="str">
        <f aca="false">IFERROR(IF(OR(C27="",D27=""),"",MOD(ROUND(C27+D27,0)+360,360)),"")</f>
        <v/>
      </c>
      <c r="F27" s="18"/>
      <c r="G27" s="17" t="str">
        <f aca="false">IFERROR(IF(OR(C27="",$F$8=""),"",ROUND($F$8*COS(RADIANS(D27))-$F$6*COS(RADIANS($F$5-C27)),0)),"")</f>
        <v/>
      </c>
      <c r="H27" s="17" t="str">
        <f aca="false">IFERROR(IF(OR(F27="",G27="",G27&lt;=0),"",ROUND(F27/G27*60,0)),"")</f>
        <v/>
      </c>
      <c r="I27" s="19" t="str">
        <f aca="false">IFERROR(IF(OR(H27="",I26=""),"",I26+H27/1440),"")</f>
        <v/>
      </c>
      <c r="J27" s="20"/>
      <c r="K27" s="16"/>
      <c r="L27" s="16"/>
    </row>
    <row r="28" customFormat="false" ht="18" hidden="false" customHeight="true" outlineLevel="0" collapsed="false">
      <c r="A28" s="21"/>
      <c r="B28" s="22"/>
      <c r="C28" s="23"/>
      <c r="D28" s="24" t="str">
        <f aca="false">IFERROR(IF(OR(C28="",$F$6="",$F$8=""),"",ROUND(DEGREES(ASIN($F$6*SIN(RADIANS($F$5-C28))/$F$8)),0)),"")</f>
        <v/>
      </c>
      <c r="E28" s="24" t="str">
        <f aca="false">IFERROR(IF(OR(C28="",D28=""),"",MOD(ROUND(C28+D28,0)+360,360)),"")</f>
        <v/>
      </c>
      <c r="F28" s="25"/>
      <c r="G28" s="24" t="str">
        <f aca="false">IFERROR(IF(OR(C28="",$F$8=""),"",ROUND($F$8*COS(RADIANS(D28))-$F$6*COS(RADIANS($F$5-C28)),0)),"")</f>
        <v/>
      </c>
      <c r="H28" s="24" t="str">
        <f aca="false">IFERROR(IF(OR(F28="",G28="",G28&lt;=0),"",ROUND(F28/G28*60,0)),"")</f>
        <v/>
      </c>
      <c r="I28" s="26" t="str">
        <f aca="false">IFERROR(IF(OR(H28="",I27=""),"",I27+H28/1440),"")</f>
        <v/>
      </c>
      <c r="J28" s="27"/>
      <c r="K28" s="23"/>
      <c r="L28" s="23"/>
    </row>
    <row r="29" customFormat="false" ht="18" hidden="false" customHeight="true" outlineLevel="0" collapsed="false">
      <c r="A29" s="14"/>
      <c r="B29" s="15"/>
      <c r="C29" s="16"/>
      <c r="D29" s="17" t="str">
        <f aca="false">IFERROR(IF(OR(C29="",$F$6="",$F$8=""),"",ROUND(DEGREES(ASIN($F$6*SIN(RADIANS($F$5-C29))/$F$8)),0)),"")</f>
        <v/>
      </c>
      <c r="E29" s="17" t="str">
        <f aca="false">IFERROR(IF(OR(C29="",D29=""),"",MOD(ROUND(C29+D29,0)+360,360)),"")</f>
        <v/>
      </c>
      <c r="F29" s="18"/>
      <c r="G29" s="17" t="str">
        <f aca="false">IFERROR(IF(OR(C29="",$F$8=""),"",ROUND($F$8*COS(RADIANS(D29))-$F$6*COS(RADIANS($F$5-C29)),0)),"")</f>
        <v/>
      </c>
      <c r="H29" s="17" t="str">
        <f aca="false">IFERROR(IF(OR(F29="",G29="",G29&lt;=0),"",ROUND(F29/G29*60,0)),"")</f>
        <v/>
      </c>
      <c r="I29" s="19" t="str">
        <f aca="false">IFERROR(IF(OR(H29="",I28=""),"",I28+H29/1440),"")</f>
        <v/>
      </c>
      <c r="J29" s="20"/>
      <c r="K29" s="16"/>
      <c r="L29" s="16"/>
    </row>
    <row r="30" customFormat="false" ht="21.75" hidden="false" customHeight="true" outlineLevel="0" collapsed="false">
      <c r="A30" s="28" t="s">
        <v>40</v>
      </c>
      <c r="B30" s="29"/>
      <c r="C30" s="29"/>
      <c r="D30" s="29"/>
      <c r="E30" s="29"/>
      <c r="F30" s="30" t="n">
        <f aca="false">SUM(F15:F29)</f>
        <v>35</v>
      </c>
      <c r="G30" s="29"/>
      <c r="H30" s="31" t="n">
        <f aca="false">SUM(H15:H29)</f>
        <v>23</v>
      </c>
      <c r="I30" s="32" t="str">
        <f aca="false">IFERROR(LOOKUP(2,1/(I15:I29&lt;&gt;""),I15:I29),"")</f>
        <v/>
      </c>
      <c r="J30" s="33"/>
      <c r="K30" s="33"/>
      <c r="L30" s="33"/>
    </row>
    <row r="31" customFormat="false" ht="13.5" hidden="false" customHeight="true" outlineLevel="0" collapsed="false">
      <c r="A31" s="34" t="s">
        <v>41</v>
      </c>
      <c r="B31" s="34"/>
      <c r="C31" s="34"/>
      <c r="D31" s="34"/>
      <c r="E31" s="34"/>
      <c r="F31" s="34"/>
      <c r="G31" s="34" t="s">
        <v>42</v>
      </c>
      <c r="H31" s="34"/>
      <c r="I31" s="34"/>
      <c r="J31" s="34"/>
      <c r="K31" s="34"/>
      <c r="L31" s="34"/>
    </row>
    <row r="32" customFormat="false" ht="21.75" hidden="false" customHeight="true" outlineLevel="0" collapsed="false">
      <c r="A32" s="35" t="s">
        <v>43</v>
      </c>
      <c r="B32" s="35"/>
      <c r="C32" s="35"/>
      <c r="D32" s="36" t="n">
        <f aca="false">IFERROR(ROUND(H30/60*$F$11,1),"")</f>
        <v>6.9</v>
      </c>
      <c r="E32" s="37"/>
      <c r="F32" s="37"/>
      <c r="G32" s="35" t="s">
        <v>44</v>
      </c>
      <c r="H32" s="35"/>
      <c r="I32" s="9"/>
      <c r="J32" s="9"/>
      <c r="K32" s="9"/>
      <c r="L32" s="9"/>
    </row>
    <row r="33" customFormat="false" ht="21.75" hidden="false" customHeight="true" outlineLevel="0" collapsed="false">
      <c r="A33" s="35" t="s">
        <v>45</v>
      </c>
      <c r="B33" s="35"/>
      <c r="C33" s="35"/>
      <c r="D33" s="36" t="n">
        <f aca="false">IFERROR(ROUND(30/60*$F$11,1),"")</f>
        <v>9</v>
      </c>
      <c r="E33" s="37"/>
      <c r="F33" s="37"/>
      <c r="G33" s="35" t="s">
        <v>46</v>
      </c>
      <c r="H33" s="35"/>
      <c r="I33" s="9"/>
      <c r="J33" s="9"/>
      <c r="K33" s="9"/>
      <c r="L33" s="9"/>
    </row>
    <row r="34" customFormat="false" ht="21.75" hidden="false" customHeight="true" outlineLevel="0" collapsed="false">
      <c r="A34" s="35" t="s">
        <v>47</v>
      </c>
      <c r="B34" s="35"/>
      <c r="C34" s="35"/>
      <c r="D34" s="38" t="n">
        <f aca="false">IFERROR(D32+D33,"")</f>
        <v>15.9</v>
      </c>
      <c r="E34" s="37"/>
      <c r="F34" s="37"/>
      <c r="G34" s="35" t="s">
        <v>48</v>
      </c>
      <c r="H34" s="35"/>
      <c r="I34" s="9"/>
      <c r="J34" s="9"/>
      <c r="K34" s="9"/>
      <c r="L34" s="9"/>
    </row>
    <row r="35" customFormat="false" ht="18" hidden="false" customHeight="true" outlineLevel="0" collapsed="false">
      <c r="A35" s="34" t="s">
        <v>49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</row>
    <row r="36" customFormat="false" ht="21.7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21.7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3.5" hidden="false" customHeight="true" outlineLevel="0" collapsed="false">
      <c r="A38" s="3" t="s">
        <v>50</v>
      </c>
      <c r="B38" s="3"/>
      <c r="C38" s="3"/>
      <c r="D38" s="3"/>
      <c r="E38" s="3"/>
      <c r="F38" s="3"/>
      <c r="G38" s="3" t="s">
        <v>51</v>
      </c>
      <c r="H38" s="3"/>
      <c r="I38" s="3"/>
      <c r="J38" s="3"/>
      <c r="K38" s="3"/>
      <c r="L38" s="3"/>
    </row>
    <row r="39" customFormat="false" ht="27.75" hidden="false" customHeight="true" outlineLevel="0" collapsed="false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</sheetData>
  <mergeCells count="68">
    <mergeCell ref="A1:B1"/>
    <mergeCell ref="C1:L1"/>
    <mergeCell ref="C2:D2"/>
    <mergeCell ref="E2:F2"/>
    <mergeCell ref="G2:H2"/>
    <mergeCell ref="I2:J2"/>
    <mergeCell ref="K2:L2"/>
    <mergeCell ref="C3:D3"/>
    <mergeCell ref="E3:F3"/>
    <mergeCell ref="G3:H3"/>
    <mergeCell ref="I3:J3"/>
    <mergeCell ref="K3:L3"/>
    <mergeCell ref="A4:C4"/>
    <mergeCell ref="D4:G4"/>
    <mergeCell ref="H4:L4"/>
    <mergeCell ref="A5:C12"/>
    <mergeCell ref="D5:E5"/>
    <mergeCell ref="F5:G5"/>
    <mergeCell ref="H5:I5"/>
    <mergeCell ref="J5:L5"/>
    <mergeCell ref="D6:E6"/>
    <mergeCell ref="F6:G6"/>
    <mergeCell ref="H6:I6"/>
    <mergeCell ref="J6:L6"/>
    <mergeCell ref="D7:E7"/>
    <mergeCell ref="F7:G7"/>
    <mergeCell ref="H7:I7"/>
    <mergeCell ref="J7:L7"/>
    <mergeCell ref="D8:E8"/>
    <mergeCell ref="F8:G8"/>
    <mergeCell ref="H8:I8"/>
    <mergeCell ref="J8:L8"/>
    <mergeCell ref="D9:E9"/>
    <mergeCell ref="F9:G9"/>
    <mergeCell ref="H9:I9"/>
    <mergeCell ref="J9:L9"/>
    <mergeCell ref="D10:E10"/>
    <mergeCell ref="F10:G10"/>
    <mergeCell ref="H10:I10"/>
    <mergeCell ref="J10:L10"/>
    <mergeCell ref="D11:E11"/>
    <mergeCell ref="F11:G11"/>
    <mergeCell ref="H11:I11"/>
    <mergeCell ref="J11:L11"/>
    <mergeCell ref="D12:E12"/>
    <mergeCell ref="F12:G12"/>
    <mergeCell ref="H12:I12"/>
    <mergeCell ref="J12:L12"/>
    <mergeCell ref="A31:F31"/>
    <mergeCell ref="G31:L31"/>
    <mergeCell ref="A32:C32"/>
    <mergeCell ref="E32:F32"/>
    <mergeCell ref="G32:H32"/>
    <mergeCell ref="I32:L32"/>
    <mergeCell ref="A33:C33"/>
    <mergeCell ref="E33:F33"/>
    <mergeCell ref="G33:H33"/>
    <mergeCell ref="I33:L33"/>
    <mergeCell ref="A34:C34"/>
    <mergeCell ref="E34:F34"/>
    <mergeCell ref="G34:H34"/>
    <mergeCell ref="I34:L34"/>
    <mergeCell ref="A35:L35"/>
    <mergeCell ref="A36:L37"/>
    <mergeCell ref="A38:F38"/>
    <mergeCell ref="G38:L38"/>
    <mergeCell ref="A39:F39"/>
    <mergeCell ref="G39:L3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2" customFormat="false" ht="25.5" hidden="false" customHeight="true" outlineLevel="0" collapsed="false">
      <c r="A2" s="40" t="s">
        <v>72</v>
      </c>
    </row>
    <row r="3" customFormat="false" ht="17.25" hidden="false" customHeight="true" outlineLevel="0" collapsed="false">
      <c r="A3" s="41" t="s">
        <v>73</v>
      </c>
    </row>
    <row r="4" customFormat="false" ht="15.75" hidden="false" customHeight="true" outlineLevel="0" collapsed="false">
      <c r="A4" s="42"/>
    </row>
    <row r="5" customFormat="false" ht="18.75" hidden="false" customHeight="true" outlineLevel="0" collapsed="false">
      <c r="A5" s="43" t="s">
        <v>74</v>
      </c>
    </row>
    <row r="6" customFormat="false" ht="15.75" hidden="false" customHeight="true" outlineLevel="0" collapsed="false">
      <c r="A6" s="44" t="s">
        <v>75</v>
      </c>
    </row>
    <row r="7" customFormat="false" ht="15.75" hidden="false" customHeight="true" outlineLevel="0" collapsed="false">
      <c r="A7" s="44" t="s">
        <v>76</v>
      </c>
    </row>
    <row r="8" customFormat="false" ht="15.75" hidden="false" customHeight="true" outlineLevel="0" collapsed="false">
      <c r="A8" s="44" t="s">
        <v>77</v>
      </c>
    </row>
    <row r="9" customFormat="false" ht="15.75" hidden="false" customHeight="true" outlineLevel="0" collapsed="false">
      <c r="A9" s="42"/>
    </row>
    <row r="10" customFormat="false" ht="18.75" hidden="false" customHeight="true" outlineLevel="0" collapsed="false">
      <c r="A10" s="43" t="s">
        <v>78</v>
      </c>
    </row>
    <row r="11" customFormat="false" ht="15.75" hidden="false" customHeight="true" outlineLevel="0" collapsed="false">
      <c r="A11" s="44" t="s">
        <v>79</v>
      </c>
    </row>
    <row r="12" customFormat="false" ht="15.75" hidden="false" customHeight="true" outlineLevel="0" collapsed="false">
      <c r="A12" s="44" t="s">
        <v>80</v>
      </c>
    </row>
    <row r="13" customFormat="false" ht="15.75" hidden="false" customHeight="true" outlineLevel="0" collapsed="false">
      <c r="A13" s="44" t="s">
        <v>81</v>
      </c>
    </row>
    <row r="14" customFormat="false" ht="15.75" hidden="false" customHeight="true" outlineLevel="0" collapsed="false">
      <c r="A14" s="44" t="s">
        <v>82</v>
      </c>
    </row>
    <row r="15" customFormat="false" ht="15.75" hidden="false" customHeight="true" outlineLevel="0" collapsed="false">
      <c r="A15" s="44" t="s">
        <v>83</v>
      </c>
    </row>
    <row r="16" customFormat="false" ht="15.75" hidden="false" customHeight="true" outlineLevel="0" collapsed="false">
      <c r="A16" s="44" t="s">
        <v>84</v>
      </c>
    </row>
    <row r="17" customFormat="false" ht="15.75" hidden="false" customHeight="true" outlineLevel="0" collapsed="false">
      <c r="A17" s="44" t="s">
        <v>85</v>
      </c>
    </row>
    <row r="18" customFormat="false" ht="15.75" hidden="false" customHeight="true" outlineLevel="0" collapsed="false">
      <c r="A18" s="42"/>
    </row>
    <row r="19" customFormat="false" ht="18.75" hidden="false" customHeight="true" outlineLevel="0" collapsed="false">
      <c r="A19" s="43" t="s">
        <v>86</v>
      </c>
    </row>
    <row r="20" customFormat="false" ht="15.75" hidden="false" customHeight="true" outlineLevel="0" collapsed="false">
      <c r="A20" s="44" t="s">
        <v>87</v>
      </c>
    </row>
    <row r="21" customFormat="false" ht="15.75" hidden="false" customHeight="true" outlineLevel="0" collapsed="false">
      <c r="A21" s="44" t="s">
        <v>88</v>
      </c>
    </row>
    <row r="22" customFormat="false" ht="15.75" hidden="false" customHeight="true" outlineLevel="0" collapsed="false">
      <c r="A22" s="44" t="s">
        <v>89</v>
      </c>
    </row>
    <row r="23" customFormat="false" ht="15.75" hidden="false" customHeight="true" outlineLevel="0" collapsed="false">
      <c r="A23" s="44" t="s">
        <v>90</v>
      </c>
    </row>
    <row r="24" customFormat="false" ht="15.75" hidden="false" customHeight="true" outlineLevel="0" collapsed="false">
      <c r="A24" s="44" t="s">
        <v>91</v>
      </c>
    </row>
    <row r="25" customFormat="false" ht="15.75" hidden="false" customHeight="true" outlineLevel="0" collapsed="false">
      <c r="A25" s="42"/>
    </row>
    <row r="26" customFormat="false" ht="18.75" hidden="false" customHeight="true" outlineLevel="0" collapsed="false">
      <c r="A26" s="43" t="s">
        <v>92</v>
      </c>
    </row>
    <row r="27" customFormat="false" ht="15.75" hidden="false" customHeight="true" outlineLevel="0" collapsed="false">
      <c r="A27" s="44" t="s">
        <v>93</v>
      </c>
    </row>
    <row r="28" customFormat="false" ht="15.75" hidden="false" customHeight="true" outlineLevel="0" collapsed="false">
      <c r="A28" s="44" t="s">
        <v>94</v>
      </c>
    </row>
    <row r="29" customFormat="false" ht="15.75" hidden="false" customHeight="true" outlineLevel="0" collapsed="false">
      <c r="A29" s="44" t="s">
        <v>95</v>
      </c>
    </row>
    <row r="30" customFormat="false" ht="15.75" hidden="false" customHeight="true" outlineLevel="0" collapsed="false">
      <c r="A30" s="44" t="s">
        <v>96</v>
      </c>
    </row>
    <row r="31" customFormat="false" ht="15.75" hidden="false" customHeight="true" outlineLevel="0" collapsed="false">
      <c r="A31" s="42"/>
    </row>
    <row r="32" customFormat="false" ht="15.75" hidden="false" customHeight="true" outlineLevel="0" collapsed="false">
      <c r="A32" s="45" t="s">
        <v>97</v>
      </c>
    </row>
    <row r="33" customFormat="false" ht="15.75" hidden="false" customHeight="true" outlineLevel="0" collapsed="false">
      <c r="A33" s="45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2026-04-25T19:29:02Z</dcterms:created>
  <dc:creator>openpyxl</dc:creator>
  <dc:description/>
  <dc:language>en-US</dc:language>
  <cp:lastModifiedBy/>
  <dcterms:modified xsi:type="dcterms:W3CDTF">2026-04-25T19:29:03Z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