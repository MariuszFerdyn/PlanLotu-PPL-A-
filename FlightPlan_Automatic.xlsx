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f\Downloads\"/>
    </mc:Choice>
  </mc:AlternateContent>
  <xr:revisionPtr revIDLastSave="0" documentId="13_ncr:1_{0518416F-3297-4AD2-B5DA-D7F9D1F49899}" xr6:coauthVersionLast="47" xr6:coauthVersionMax="47" xr10:uidLastSave="{00000000-0000-0000-0000-000000000000}"/>
  <bookViews>
    <workbookView xWindow="-44280" yWindow="405" windowWidth="38700" windowHeight="15285" tabRatio="500" activeTab="1" xr2:uid="{00000000-000D-0000-FFFF-FFFF00000000}"/>
  </bookViews>
  <sheets>
    <sheet name="Main" sheetId="1" r:id="rId1"/>
    <sheet name="Sample" sheetId="9" r:id="rId2"/>
    <sheet name="README" sheetId="2" r:id="rId3"/>
    <sheet name="Wszystkie punkty" sheetId="3" r:id="rId4"/>
    <sheet name="DMS (format AIP)" sheetId="4" r:id="rId5"/>
    <sheet name="Przegląd lotnisk" sheetId="5" r:id="rId6"/>
    <sheet name="Bez punktów VFR" sheetId="6" r:id="rId7"/>
    <sheet name="ENR Granica FIR" sheetId="7" r:id="rId8"/>
    <sheet name="Info" sheetId="8" r:id="rId9"/>
  </sheets>
  <externalReferences>
    <externalReference r:id="rId10"/>
  </externalReferences>
  <definedNames>
    <definedName name="_xlnm._FilterDatabase" localSheetId="4" hidden="1">'DMS (format AIP)'!$A$3:$F$345</definedName>
    <definedName name="_xlnm._FilterDatabase" localSheetId="7" hidden="1">'ENR Granica FIR'!$A$5:$I$42</definedName>
    <definedName name="_xlnm._FilterDatabase" localSheetId="3" hidden="1">'Wszystkie punkty'!$A$3:$H$345</definedName>
    <definedName name="_xlnm.Print_Area" localSheetId="0">Main!$A$1:$L$43</definedName>
    <definedName name="_xlnm.Print_Area" localSheetId="1">Sample!$A$1:$L$43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8" i="9" l="1"/>
  <c r="D32" i="9" s="1"/>
  <c r="E32" i="9" s="1"/>
  <c r="C15" i="9"/>
  <c r="M15" i="9"/>
  <c r="F16" i="9" s="1"/>
  <c r="N15" i="9"/>
  <c r="C17" i="9"/>
  <c r="M17" i="9"/>
  <c r="N17" i="9"/>
  <c r="F18" i="9"/>
  <c r="C19" i="9"/>
  <c r="M19" i="9"/>
  <c r="F20" i="9" s="1"/>
  <c r="N19" i="9"/>
  <c r="D20" i="9"/>
  <c r="E20" i="9" s="1"/>
  <c r="G20" i="9"/>
  <c r="C21" i="9"/>
  <c r="M21" i="9"/>
  <c r="F22" i="9" s="1"/>
  <c r="N21" i="9"/>
  <c r="C23" i="9"/>
  <c r="M23" i="9"/>
  <c r="N23" i="9"/>
  <c r="C25" i="9"/>
  <c r="M25" i="9"/>
  <c r="F26" i="9" s="1"/>
  <c r="N25" i="9"/>
  <c r="D26" i="9"/>
  <c r="E26" i="9" s="1"/>
  <c r="G26" i="9"/>
  <c r="C27" i="9"/>
  <c r="M27" i="9"/>
  <c r="N27" i="9"/>
  <c r="F28" i="9"/>
  <c r="C29" i="9"/>
  <c r="M29" i="9"/>
  <c r="N29" i="9"/>
  <c r="C31" i="9"/>
  <c r="M31" i="9"/>
  <c r="F30" i="9" s="1"/>
  <c r="N31" i="9"/>
  <c r="F32" i="9"/>
  <c r="C33" i="9"/>
  <c r="M33" i="9"/>
  <c r="N33" i="9"/>
  <c r="D37" i="9"/>
  <c r="G59" i="5"/>
  <c r="D37" i="1"/>
  <c r="N33" i="1"/>
  <c r="M33" i="1"/>
  <c r="C33" i="1"/>
  <c r="N31" i="1"/>
  <c r="F32" i="1" s="1"/>
  <c r="M31" i="1"/>
  <c r="C31" i="1"/>
  <c r="N29" i="1"/>
  <c r="M29" i="1"/>
  <c r="F30" i="1" s="1"/>
  <c r="C29" i="1"/>
  <c r="N27" i="1"/>
  <c r="M27" i="1"/>
  <c r="F26" i="1" s="1"/>
  <c r="C27" i="1"/>
  <c r="N25" i="1"/>
  <c r="M25" i="1"/>
  <c r="C25" i="1"/>
  <c r="N23" i="1"/>
  <c r="M23" i="1"/>
  <c r="F24" i="1" s="1"/>
  <c r="C23" i="1"/>
  <c r="N21" i="1"/>
  <c r="M21" i="1"/>
  <c r="F22" i="1" s="1"/>
  <c r="C21" i="1"/>
  <c r="N19" i="1"/>
  <c r="M19" i="1"/>
  <c r="F20" i="1" s="1"/>
  <c r="C19" i="1"/>
  <c r="N17" i="1"/>
  <c r="M17" i="1"/>
  <c r="F18" i="1" s="1"/>
  <c r="C17" i="1"/>
  <c r="N15" i="1"/>
  <c r="M15" i="1"/>
  <c r="F16" i="1" s="1"/>
  <c r="C15" i="1"/>
  <c r="F8" i="1"/>
  <c r="D28" i="1" s="1"/>
  <c r="E28" i="1" s="1"/>
  <c r="G30" i="9" l="1"/>
  <c r="H30" i="9" s="1"/>
  <c r="H20" i="9"/>
  <c r="D30" i="9"/>
  <c r="E30" i="9" s="1"/>
  <c r="G24" i="9"/>
  <c r="G18" i="9"/>
  <c r="H18" i="9" s="1"/>
  <c r="D24" i="9"/>
  <c r="E24" i="9" s="1"/>
  <c r="D18" i="9"/>
  <c r="E18" i="9" s="1"/>
  <c r="G28" i="9"/>
  <c r="H28" i="9" s="1"/>
  <c r="G22" i="9"/>
  <c r="H22" i="9" s="1"/>
  <c r="G32" i="9"/>
  <c r="D28" i="9"/>
  <c r="E28" i="9" s="1"/>
  <c r="D22" i="9"/>
  <c r="E22" i="9" s="1"/>
  <c r="G16" i="9"/>
  <c r="D16" i="9"/>
  <c r="E16" i="9" s="1"/>
  <c r="H32" i="9"/>
  <c r="H26" i="9"/>
  <c r="H16" i="9"/>
  <c r="F24" i="9"/>
  <c r="H24" i="9" s="1"/>
  <c r="H18" i="1"/>
  <c r="H30" i="1"/>
  <c r="H22" i="1"/>
  <c r="G28" i="1"/>
  <c r="G24" i="1"/>
  <c r="H24" i="1" s="1"/>
  <c r="F28" i="1"/>
  <c r="H28" i="1" s="1"/>
  <c r="D32" i="1"/>
  <c r="E32" i="1" s="1"/>
  <c r="D18" i="1"/>
  <c r="E18" i="1" s="1"/>
  <c r="D22" i="1"/>
  <c r="E22" i="1" s="1"/>
  <c r="G32" i="1"/>
  <c r="H32" i="1" s="1"/>
  <c r="G18" i="1"/>
  <c r="G22" i="1"/>
  <c r="D30" i="1"/>
  <c r="E30" i="1" s="1"/>
  <c r="D26" i="1"/>
  <c r="E26" i="1" s="1"/>
  <c r="D16" i="1"/>
  <c r="E16" i="1" s="1"/>
  <c r="D20" i="1"/>
  <c r="E20" i="1" s="1"/>
  <c r="G30" i="1"/>
  <c r="G16" i="1"/>
  <c r="H16" i="1" s="1"/>
  <c r="D24" i="1"/>
  <c r="E24" i="1" s="1"/>
  <c r="G20" i="1"/>
  <c r="H20" i="1" s="1"/>
  <c r="G26" i="1"/>
  <c r="H26" i="1" s="1"/>
  <c r="H34" i="9" l="1"/>
  <c r="D36" i="9" s="1"/>
  <c r="D38" i="9" s="1"/>
  <c r="I16" i="9"/>
  <c r="I18" i="9" s="1"/>
  <c r="I20" i="9" s="1"/>
  <c r="I22" i="9" s="1"/>
  <c r="I24" i="9" s="1"/>
  <c r="F34" i="9"/>
  <c r="I16" i="1"/>
  <c r="H34" i="1"/>
  <c r="D36" i="1" s="1"/>
  <c r="D38" i="1" s="1"/>
  <c r="F34" i="1"/>
  <c r="I18" i="1"/>
  <c r="I20" i="1" s="1"/>
  <c r="I22" i="1" s="1"/>
  <c r="I24" i="1" s="1"/>
  <c r="I26" i="9" l="1"/>
  <c r="I28" i="9" s="1"/>
  <c r="I30" i="9" s="1"/>
  <c r="I32" i="9" s="1"/>
  <c r="I26" i="1"/>
  <c r="I28" i="1" s="1"/>
  <c r="I30" i="1" s="1"/>
  <c r="I32" i="1" s="1"/>
  <c r="I34" i="9" l="1"/>
  <c r="I34" i="1"/>
</calcChain>
</file>

<file path=xl/sharedStrings.xml><?xml version="1.0" encoding="utf-8"?>
<sst xmlns="http://schemas.openxmlformats.org/spreadsheetml/2006/main" count="5531" uniqueCount="1835">
  <si>
    <t>CENTRUM
LOTNICZE</t>
  </si>
  <si>
    <t>FLIGHT PLAN  /  PLAN LOTU</t>
  </si>
  <si>
    <t>DATE</t>
  </si>
  <si>
    <t>DEPARTURE</t>
  </si>
  <si>
    <t>DESTINATION</t>
  </si>
  <si>
    <t>A/C TYPE</t>
  </si>
  <si>
    <t>A/C IDENT</t>
  </si>
  <si>
    <t>PILOT</t>
  </si>
  <si>
    <t>INSTRUCTOR</t>
  </si>
  <si>
    <t>DEPARTURE CLEARANCE</t>
  </si>
  <si>
    <t>WEATHER &amp; PERFORMANCE</t>
  </si>
  <si>
    <t>FREQUENCIES &amp; TIMES</t>
  </si>
  <si>
    <t>WIND DIR [°]</t>
  </si>
  <si>
    <t>FREQ DEPARTURE</t>
  </si>
  <si>
    <t>WIND VEL [kt]</t>
  </si>
  <si>
    <t>FREQ DESTINATION</t>
  </si>
  <si>
    <t>IAS [kt]</t>
  </si>
  <si>
    <t>ETD</t>
  </si>
  <si>
    <t>TAS [kt]</t>
  </si>
  <si>
    <t>ATD</t>
  </si>
  <si>
    <t>TOTAL FUEL [L]</t>
  </si>
  <si>
    <t>ETA</t>
  </si>
  <si>
    <t>USEABLE [L]</t>
  </si>
  <si>
    <t>ATA</t>
  </si>
  <si>
    <t>FUEL FLOW [L/h]</t>
  </si>
  <si>
    <t>SR</t>
  </si>
  <si>
    <t>OAT [°C]</t>
  </si>
  <si>
    <t>SS</t>
  </si>
  <si>
    <t>WAYPOINT</t>
  </si>
  <si>
    <t>IDENT / FRQ</t>
  </si>
  <si>
    <t>MT
[°]</t>
  </si>
  <si>
    <t>WCA
[°]</t>
  </si>
  <si>
    <t>MH
[°]</t>
  </si>
  <si>
    <t>DIST
[NM]</t>
  </si>
  <si>
    <t>GS
[kt]</t>
  </si>
  <si>
    <t>TIME
[min]</t>
  </si>
  <si>
    <t>ETO
[hh:mm]</t>
  </si>
  <si>
    <t>ATO
[hh:mm]</t>
  </si>
  <si>
    <t>MIN ALT
[ft]</t>
  </si>
  <si>
    <t>PLAN ALT
[ft]</t>
  </si>
  <si>
    <t>Lat</t>
  </si>
  <si>
    <t>Lon</t>
  </si>
  <si>
    <t>↓</t>
  </si>
  <si>
    <t>TOTALS  /  RAZEM</t>
  </si>
  <si>
    <t>FUEL PLANNING  /  PALIWO</t>
  </si>
  <si>
    <t>ALTERNATE  /  LOTNISKO ZAPASOWE</t>
  </si>
  <si>
    <t>Trip fuel [L]</t>
  </si>
  <si>
    <t>Alternate field:</t>
  </si>
  <si>
    <t>Reserve (30 min) [L]</t>
  </si>
  <si>
    <t>Distance [NM]:</t>
  </si>
  <si>
    <t>Block fuel needed [L]</t>
  </si>
  <si>
    <t>Extra time [min]:</t>
  </si>
  <si>
    <t>ARRIVAL CLEARANCE / NOTES / NOTAM</t>
  </si>
  <si>
    <t>PILOT SIGNATURE</t>
  </si>
  <si>
    <t>INSTRUCTOR SIGNATURE</t>
  </si>
  <si>
    <t>FLIGHT PLAN — Centrum Lotnicze</t>
  </si>
  <si>
    <t>Naw-log z auto-obliczeniami trójkąta wiatru (v4 — protected)</t>
  </si>
  <si>
    <t>OCHRONA ARKUSZA</t>
  </si>
  <si>
    <t xml:space="preserve">  • Edytować można TYLKO żółte komórki (input)</t>
  </si>
  <si>
    <t xml:space="preserve">  • Pola wyszarzane (gray dead zone) i niebieskie (calc) są zablokowane</t>
  </si>
  <si>
    <t xml:space="preserve">  • Aby odblokować arkusz: Review → Unprotect Sheet (bez hasła)</t>
  </si>
  <si>
    <t>UKŁAD TABELI TRASY</t>
  </si>
  <si>
    <t xml:space="preserve">  • Wiersze WAYPOINT (jasnoniebieski pasek): nazwa, frq, min/plan altitude — środek (C..J) zmergowany jako "dead zone"</t>
  </si>
  <si>
    <t xml:space="preserve">  • Wiersze LEG między waypointami (↓): MT, WCA, MH, DIST, GS, TIME, ETO, ATO</t>
  </si>
  <si>
    <t xml:space="preserve">  • Logika: kurs/dystans dotyczy ODCINKA pomiędzy dwoma waypointami</t>
  </si>
  <si>
    <t>KOLORY</t>
  </si>
  <si>
    <t xml:space="preserve">  • Żółte = pola edytowalne (input)</t>
  </si>
  <si>
    <t xml:space="preserve">  • Niebieskie pogrubione = auto-obliczane (zablokowane)</t>
  </si>
  <si>
    <t xml:space="preserve">  • Szare zmergowane = dead zone (zablokowane)</t>
  </si>
  <si>
    <t xml:space="preserve">  • Granat = nagłówki / sumy (zablokowane)</t>
  </si>
  <si>
    <t>FORMUŁY</t>
  </si>
  <si>
    <t xml:space="preserve">  WCA  = ASIN( WV × sin(WD − MT) / TAS )</t>
  </si>
  <si>
    <t xml:space="preserve">  MH   = (MT + WCA + 360) mod 360</t>
  </si>
  <si>
    <t xml:space="preserve">  GS   = TAS × cos(WCA) − WV × cos(WD − MT)</t>
  </si>
  <si>
    <t xml:space="preserve">  TIME = DIST / GS × 60</t>
  </si>
  <si>
    <t xml:space="preserve">  ETO  = poprzedni ETO + TIME / 1440  (1. odcinek: ETD + TIME/1440)</t>
  </si>
  <si>
    <t xml:space="preserve">  TAS  = IAS × (1 + 0.02 × Plan_Alt[ft]/1000)</t>
  </si>
  <si>
    <t>NOWE FUNKCJE (v5):</t>
  </si>
  <si>
    <t xml:space="preserve">  • Kolumna WAYPOINT — dropdown z listy (Data Validation)</t>
  </si>
  <si>
    <t xml:space="preserve">    Format VFR: "PUNKT/ICAO" (np. ALFA/EPBC)</t>
  </si>
  <si>
    <t xml:space="preserve">    Format lotnisk: "ICAO ARP" (np. EPBC ARP)</t>
  </si>
  <si>
    <t xml:space="preserve">  • Po wybraniu — szary pasek pod waypointem zawiera link "↗ Pokaż w bazie"</t>
  </si>
  <si>
    <t xml:space="preserve">    który skacze do wiersza w arkuszu "Wszystkie punkty"</t>
  </si>
  <si>
    <t xml:space="preserve">  • DIST [NM] liczy się automatycznie wzorem Haversine z Lat/Lon obu punktów</t>
  </si>
  <si>
    <t xml:space="preserve">    DIST = ACOS( sin(φ₁)sin(φ₂) + cos(φ₁)cos(φ₂)cos(λ₂−λ₁) ) × 3440.065</t>
  </si>
  <si>
    <t xml:space="preserve">  • Można nadpisać DIST ręcznie (kolumna F na wierszu legu — odblokowana)</t>
  </si>
  <si>
    <t xml:space="preserve">  • Pomocnicze kolumny M (Lat) i N (Lon) są ukryte — Format → Unhide aby zobaczyć</t>
  </si>
  <si>
    <t xml:space="preserve">  • Lotniska z "Przegląd lotnisk" zostały dopisane do "Wszystkie punkty" (jasnopomarańczowe)</t>
  </si>
  <si>
    <t>Punkty meldunkowe VFR w Polsce — kompletna baza</t>
  </si>
  <si>
    <t>ICAO</t>
  </si>
  <si>
    <t>Lotnisko / Lądowisko</t>
  </si>
  <si>
    <t>Typ przestrzeni</t>
  </si>
  <si>
    <t>AD Ref</t>
  </si>
  <si>
    <t>Punkt</t>
  </si>
  <si>
    <t>Lat (decimal)</t>
  </si>
  <si>
    <t>Lon (decimal)</t>
  </si>
  <si>
    <t>Opis / Landmark</t>
  </si>
  <si>
    <t>Display (lookup)</t>
  </si>
  <si>
    <t>EPBA</t>
  </si>
  <si>
    <t>ALEKSANDROWICE k/Bielska-Białej</t>
  </si>
  <si>
    <t>ATZ</t>
  </si>
  <si>
    <t>AD 4</t>
  </si>
  <si>
    <t>ALFA</t>
  </si>
  <si>
    <t>Skrzyż. drogi Bielsko-Biała-Katowice z obw. wschodnią</t>
  </si>
  <si>
    <t>ALFA/EPBA</t>
  </si>
  <si>
    <t>BRAVO</t>
  </si>
  <si>
    <t>Świętoszówka - wiadukt nad szosą Bielsko-Cieszyn</t>
  </si>
  <si>
    <t>BRAVO/EPBA</t>
  </si>
  <si>
    <t>CHARLIE</t>
  </si>
  <si>
    <t>Wyjazd z drogi B-B - Szczyrk na obwodnicę wschodnią</t>
  </si>
  <si>
    <t>CHARLIE/EPBA</t>
  </si>
  <si>
    <t>EPBC</t>
  </si>
  <si>
    <t>WARSZAWA - BABICE</t>
  </si>
  <si>
    <t>ATZ (AFIS)</t>
  </si>
  <si>
    <t>Magazyn w m. Siestrzeń</t>
  </si>
  <si>
    <t>ALFA/EPBC</t>
  </si>
  <si>
    <t>Fabryka w m. Błonie</t>
  </si>
  <si>
    <t>BRAVO/EPBC</t>
  </si>
  <si>
    <t>DELTA</t>
  </si>
  <si>
    <t>Miejscowość Wołomin</t>
  </si>
  <si>
    <t>DELTA/EPBC</t>
  </si>
  <si>
    <t>ECHO</t>
  </si>
  <si>
    <t>Skrzyżowanie ul. Marynarskiej i trasy S79</t>
  </si>
  <si>
    <t>ECHO/EPBC</t>
  </si>
  <si>
    <t>FOXTROT</t>
  </si>
  <si>
    <t>Skrzyżowanie dróg 1 km na N od Borzęcin Duży</t>
  </si>
  <si>
    <t>FOXTROT/EPBC</t>
  </si>
  <si>
    <t>GOLF</t>
  </si>
  <si>
    <t>Most drogowy w m. Góra Kalwaria</t>
  </si>
  <si>
    <t>GOLF/EPBC</t>
  </si>
  <si>
    <t>JULIETT</t>
  </si>
  <si>
    <t>M. Jabłonna</t>
  </si>
  <si>
    <t>JULIETT/EPBC</t>
  </si>
  <si>
    <t>KILO</t>
  </si>
  <si>
    <t>Oczyszczalnia w m. Karczew</t>
  </si>
  <si>
    <t>KILO/EPBC</t>
  </si>
  <si>
    <t>LUQIQ</t>
  </si>
  <si>
    <t>Zadrzewiona wyspa na Wiśle</t>
  </si>
  <si>
    <t>LUQIQ/EPBC</t>
  </si>
  <si>
    <t>MIKE</t>
  </si>
  <si>
    <t>Skrzyżowanie w m. Zakręt</t>
  </si>
  <si>
    <t>MIKE/EPBC</t>
  </si>
  <si>
    <t>NOVEMBER</t>
  </si>
  <si>
    <t>Most Siekierkowski</t>
  </si>
  <si>
    <t>NOVEMBER/EPBC</t>
  </si>
  <si>
    <t>PAPA</t>
  </si>
  <si>
    <t>Centrum handlowe (skrzyż. Toruńskiej z Radzymińską)</t>
  </si>
  <si>
    <t>PAPA/EPBC</t>
  </si>
  <si>
    <t>TANGO</t>
  </si>
  <si>
    <t>Fabryka w m. Tarczyn</t>
  </si>
  <si>
    <t>TANGO/EPBC</t>
  </si>
  <si>
    <t>ZULU</t>
  </si>
  <si>
    <t>Żerań terminal kolejowy</t>
  </si>
  <si>
    <t>ZULU/EPBC</t>
  </si>
  <si>
    <t>EPBK</t>
  </si>
  <si>
    <t>BIAŁYSTOK KRYWLANY</t>
  </si>
  <si>
    <t>Stawy Dojlidzkie - trzy zalewy E od lotniska</t>
  </si>
  <si>
    <t>DELTA/EPBK</t>
  </si>
  <si>
    <t>Skrzyż. w m. Księżyno (droga nr 678)</t>
  </si>
  <si>
    <t>KILO/EPBK</t>
  </si>
  <si>
    <t>LIMA</t>
  </si>
  <si>
    <t>Stacja kolej. w m. Lewickie (granica ATZ)</t>
  </si>
  <si>
    <t>LIMA/EPBK</t>
  </si>
  <si>
    <t>OSCAR</t>
  </si>
  <si>
    <t>Skrzyż. w m. Ogrodniczki (granica ATZ)</t>
  </si>
  <si>
    <t>OSCAR/EPBK</t>
  </si>
  <si>
    <t>Rozwidlenie w m. Porosły (DK8)</t>
  </si>
  <si>
    <t>PAPA/EPBK</t>
  </si>
  <si>
    <t>ROMEO</t>
  </si>
  <si>
    <t>Skrzyż. w m. Rafałówka (N od Zabłudów)</t>
  </si>
  <si>
    <t>ROMEO/EPBK</t>
  </si>
  <si>
    <t>EPBY</t>
  </si>
  <si>
    <t>BYDGOSZCZ</t>
  </si>
  <si>
    <t>CTR/ATZ</t>
  </si>
  <si>
    <t>AD 2</t>
  </si>
  <si>
    <t>m. Kowalewo</t>
  </si>
  <si>
    <t>KILO/EPBY</t>
  </si>
  <si>
    <t>Kościół w m. Łabiszyn</t>
  </si>
  <si>
    <t>LIMA/EPBY</t>
  </si>
  <si>
    <t>Maksymilianowo - stacja kolejowa</t>
  </si>
  <si>
    <t>MIKE/EPBY</t>
  </si>
  <si>
    <t>Myślęcinek - skrzyżowanie</t>
  </si>
  <si>
    <t>NOVEMBER/EPBY</t>
  </si>
  <si>
    <t>Nakło nad Notecią - kościół</t>
  </si>
  <si>
    <t>OSCAR/EPBY</t>
  </si>
  <si>
    <t>Węzeł dróg S5 i 80 k. Pawłówek</t>
  </si>
  <si>
    <t>PAPA/EPBY</t>
  </si>
  <si>
    <t>Stacja kolejowa Rynkowo Wiadukt</t>
  </si>
  <si>
    <t>ROMEO/EPBY</t>
  </si>
  <si>
    <t>SIERRA</t>
  </si>
  <si>
    <t>Stryszek - skrzyżowanie</t>
  </si>
  <si>
    <t>SIERRA/EPBY</t>
  </si>
  <si>
    <t>UNIFORM</t>
  </si>
  <si>
    <t>Unisław - kościół</t>
  </si>
  <si>
    <t>UNIFORM/EPBY</t>
  </si>
  <si>
    <t>WHISKEY</t>
  </si>
  <si>
    <t>m. Nowa Wieś Wielka</t>
  </si>
  <si>
    <t>WHISKEY/EPBY</t>
  </si>
  <si>
    <t>EPCD</t>
  </si>
  <si>
    <t>DEPUŁTYCZE KRÓLEWSKIE</t>
  </si>
  <si>
    <t>Skrzyżowanie w m. Stołpie</t>
  </si>
  <si>
    <t>NOVEMBER/EPCD</t>
  </si>
  <si>
    <t>Pałac w m. Rejowiec</t>
  </si>
  <si>
    <t>WHISKEY/EPCD</t>
  </si>
  <si>
    <t>Wieś Zagroda</t>
  </si>
  <si>
    <t>ZULU/EPCD</t>
  </si>
  <si>
    <t>EPGD</t>
  </si>
  <si>
    <t>GDAŃSK im. Lecha Wałęsy</t>
  </si>
  <si>
    <t>CTR/TMA</t>
  </si>
  <si>
    <t>Falochron przy ujściu Wisły Śmiałej</t>
  </si>
  <si>
    <t>GOLF/EPGD</t>
  </si>
  <si>
    <t>INDIA</t>
  </si>
  <si>
    <t>Zachodni skraj jeziora Marchowo</t>
  </si>
  <si>
    <t>INDIA/EPGD</t>
  </si>
  <si>
    <t>Opera Leśna w Sopocie</t>
  </si>
  <si>
    <t>MIKE/EPGD</t>
  </si>
  <si>
    <t>Centrum handlowe</t>
  </si>
  <si>
    <t>NOVEMBER/EPGD</t>
  </si>
  <si>
    <t>Pałac w m. Leźno</t>
  </si>
  <si>
    <t>SIERRA/EPGD</t>
  </si>
  <si>
    <t>X-RAY</t>
  </si>
  <si>
    <t>Płn.-wsch. skraj jez. Kolbudy koło m. Kolbudy</t>
  </si>
  <si>
    <t>X-RAY/EPGD</t>
  </si>
  <si>
    <t>Poł.-zach. skraj jez. Karczemne koło m. Kartuzy</t>
  </si>
  <si>
    <t>ZULU/EPGD</t>
  </si>
  <si>
    <t>EPGI</t>
  </si>
  <si>
    <t>LISIE KĄTY k/Grudziądza</t>
  </si>
  <si>
    <t>Stacja PKP Mełno, obok zabudowań starej cukrowni</t>
  </si>
  <si>
    <t>ECHO/EPGI</t>
  </si>
  <si>
    <t>Miejscowość Gardeja</t>
  </si>
  <si>
    <t>GOLF/EPGI</t>
  </si>
  <si>
    <t>Most na rzece Wisła w Grudziądzu</t>
  </si>
  <si>
    <t>MIKE/EPGI</t>
  </si>
  <si>
    <t>Ujście rzeki Osy do Wisły, skarpa nadwiślana</t>
  </si>
  <si>
    <t>OSCAR/EPGI</t>
  </si>
  <si>
    <t>Silosy w m. Rogóźno-Zamek</t>
  </si>
  <si>
    <t>ROMEO/EPGI</t>
  </si>
  <si>
    <t>EPGL</t>
  </si>
  <si>
    <t>GLIWICE</t>
  </si>
  <si>
    <t>Bukowno</t>
  </si>
  <si>
    <t>BRAVO/EPGL</t>
  </si>
  <si>
    <t>Rogoźnik - zbiornik wodny, wsch. kraniec</t>
  </si>
  <si>
    <t>GOLF/EPGL</t>
  </si>
  <si>
    <t>HOTEL</t>
  </si>
  <si>
    <t>Strzemieszyce - węzeł S1/94</t>
  </si>
  <si>
    <t>HOTEL/EPGL</t>
  </si>
  <si>
    <t>Mikołów, węzeł dróg 44/81</t>
  </si>
  <si>
    <t>MIKE/EPGL</t>
  </si>
  <si>
    <t>Pyskowice</t>
  </si>
  <si>
    <t>PAPA/EPGL</t>
  </si>
  <si>
    <t>Tychy, początek S1</t>
  </si>
  <si>
    <t>SIERRA/EPGL</t>
  </si>
  <si>
    <t>Bytom Karb - skrzyż. E40/94</t>
  </si>
  <si>
    <t>TANGO/EPGL</t>
  </si>
  <si>
    <t>EPIN</t>
  </si>
  <si>
    <t>INOWROCŁAW</t>
  </si>
  <si>
    <t>Stacja kolejowa w m. Jaksice</t>
  </si>
  <si>
    <t>JULIETT/EPIN</t>
  </si>
  <si>
    <t>Skrzyżowanie w m. Dąbrówka</t>
  </si>
  <si>
    <t>MIKE/EPIN</t>
  </si>
  <si>
    <t>Kościół w m. Płonkowo</t>
  </si>
  <si>
    <t>NOVEMBER/EPIN</t>
  </si>
  <si>
    <t>Skrzyżowanie w m. Przybranowo</t>
  </si>
  <si>
    <t>PAPA/EPIN</t>
  </si>
  <si>
    <t>Skrzyżowanie w m. Radziejów</t>
  </si>
  <si>
    <t>ROMEO/EPIN</t>
  </si>
  <si>
    <t>Skrzyżowanie w m. Przedbojewice</t>
  </si>
  <si>
    <t>SIERRA/EPIN</t>
  </si>
  <si>
    <t>Skrzyżowanie w m. Wonorze</t>
  </si>
  <si>
    <t>WHISKEY/EPIN</t>
  </si>
  <si>
    <t>Skrzyżowanie w m. Złotniki Kujawskie</t>
  </si>
  <si>
    <t>ZULU/EPIN</t>
  </si>
  <si>
    <t>EPJG</t>
  </si>
  <si>
    <t>JELENIA GÓRA</t>
  </si>
  <si>
    <t>Szczyt Łysa Góra, dwa maszty GSM</t>
  </si>
  <si>
    <t>ALFA/EPJG</t>
  </si>
  <si>
    <t>Miejscowość Janowice Wielkie</t>
  </si>
  <si>
    <t>JULIETT/EPJG</t>
  </si>
  <si>
    <t>Jezioro Pilchowickie</t>
  </si>
  <si>
    <t>PAPA/EPJG</t>
  </si>
  <si>
    <t>Zbiornik wodny Sosnówka</t>
  </si>
  <si>
    <t>SIERRA/EPJG</t>
  </si>
  <si>
    <t>Kamieniołom - Wojcieszów</t>
  </si>
  <si>
    <t>WHISKEY/EPJG</t>
  </si>
  <si>
    <t>Zbiornik wodny Wojanów</t>
  </si>
  <si>
    <t>ZULU/EPJG</t>
  </si>
  <si>
    <t>EPJS</t>
  </si>
  <si>
    <t>JEŻÓW SUDECKI k/Jeleniej Góry</t>
  </si>
  <si>
    <t>ALFA/EPJS</t>
  </si>
  <si>
    <t>JULIETT/EPJS</t>
  </si>
  <si>
    <t>PAPA/EPJS</t>
  </si>
  <si>
    <t>SIERRA/EPJS</t>
  </si>
  <si>
    <t>WHISKEY/EPJS</t>
  </si>
  <si>
    <t>ZULU/EPJS</t>
  </si>
  <si>
    <t>EPKA</t>
  </si>
  <si>
    <t>MASŁÓW k/Kielc</t>
  </si>
  <si>
    <t>Daleszyce</t>
  </si>
  <si>
    <t>DELTA/EPKA</t>
  </si>
  <si>
    <t>Węzeł S7 / K74</t>
  </si>
  <si>
    <t>KILO/EPKA</t>
  </si>
  <si>
    <t>Wzgórze Telegraf z masztem</t>
  </si>
  <si>
    <t>TANGO/EPKA</t>
  </si>
  <si>
    <t>Skrzyż. w m. Wola Jachowa</t>
  </si>
  <si>
    <t>WHISKEY/EPKA</t>
  </si>
  <si>
    <t>Stacja kolej. w m. Zagnańsk</t>
  </si>
  <si>
    <t>ZULU/EPKA</t>
  </si>
  <si>
    <t>EPKE</t>
  </si>
  <si>
    <t>KĘTRZYN</t>
  </si>
  <si>
    <t>Miejscowość Serławki Wielkie</t>
  </si>
  <si>
    <t>ECHO/EPKE</t>
  </si>
  <si>
    <t>Miejscowość Boże</t>
  </si>
  <si>
    <t>SIERRA/EPKE</t>
  </si>
  <si>
    <t>Miejscowość Święta Lipka</t>
  </si>
  <si>
    <t>WHISKEY/EPKE</t>
  </si>
  <si>
    <t>EPKK</t>
  </si>
  <si>
    <t>KRAKÓW / Balice</t>
  </si>
  <si>
    <t>BRAVO/EPKK</t>
  </si>
  <si>
    <t>Niedaleko Dobczyc</t>
  </si>
  <si>
    <t>DELTA/EPKK</t>
  </si>
  <si>
    <t>Elektrownia wodna na Wiśle</t>
  </si>
  <si>
    <t>ECHO/EPKK</t>
  </si>
  <si>
    <t>Strzemieszyce - węzeł dróg S1 i 94</t>
  </si>
  <si>
    <t>HOTEL/EPKK</t>
  </si>
  <si>
    <t>Krzeszowice - kopalnia na N od miasta</t>
  </si>
  <si>
    <t>INDIA/EPKK</t>
  </si>
  <si>
    <t>Kryspinów - na S od zbiornika wodnego</t>
  </si>
  <si>
    <t>KILO/EPKK</t>
  </si>
  <si>
    <t>Luborzyca</t>
  </si>
  <si>
    <t>LIMA/EPKK</t>
  </si>
  <si>
    <t>Miechów</t>
  </si>
  <si>
    <t>MIKE/EPKK</t>
  </si>
  <si>
    <t>Smardzowice - kościół</t>
  </si>
  <si>
    <t>OSCAR/EPKK</t>
  </si>
  <si>
    <t>Niedaleko Radocza</t>
  </si>
  <si>
    <t>ROMEO/EPKK</t>
  </si>
  <si>
    <t>Skawina</t>
  </si>
  <si>
    <t>SIERRA/EPKK</t>
  </si>
  <si>
    <t>Niedaleko Sułkowic</t>
  </si>
  <si>
    <t>UNIFORM/EPKK</t>
  </si>
  <si>
    <t>Zabierzów - czasza radaru</t>
  </si>
  <si>
    <t>ZULU/EPKK</t>
  </si>
  <si>
    <t>EPKM</t>
  </si>
  <si>
    <t>KATOWICE MUCHOWIEC</t>
  </si>
  <si>
    <t>BRAVO/EPKM</t>
  </si>
  <si>
    <t>GOLF/EPKM</t>
  </si>
  <si>
    <t>HOTEL/EPKM</t>
  </si>
  <si>
    <t>Mikołów, węzeł 44/81</t>
  </si>
  <si>
    <t>MIKE/EPKM</t>
  </si>
  <si>
    <t>PAPA/EPKM</t>
  </si>
  <si>
    <t>SIERRA/EPKM</t>
  </si>
  <si>
    <t>TANGO/EPKM</t>
  </si>
  <si>
    <t>EPKP</t>
  </si>
  <si>
    <t>POBIEDNIK k/Krakowa</t>
  </si>
  <si>
    <t>Most na Wiśle S od m. Nowe Brzesko</t>
  </si>
  <si>
    <t>NOVEMBER/EPKP</t>
  </si>
  <si>
    <t>Węzeł torów W od Podłęże</t>
  </si>
  <si>
    <t>PAPA/EPKP</t>
  </si>
  <si>
    <t>Skrzyżowanie dróg w m. Tropiszów</t>
  </si>
  <si>
    <t>TANGO/EPKP</t>
  </si>
  <si>
    <t>Stawy S od m. Zabierzów Bocheński</t>
  </si>
  <si>
    <t>ZULU/EPKP</t>
  </si>
  <si>
    <t>EPKR</t>
  </si>
  <si>
    <t>KROSNO</t>
  </si>
  <si>
    <t>Skrzyżowanie dróg w m. Bajdy</t>
  </si>
  <si>
    <t>BRAVO/EPKR</t>
  </si>
  <si>
    <t>Kościół w m. Haczów</t>
  </si>
  <si>
    <t>HOTEL/EPKR</t>
  </si>
  <si>
    <t>Skrzyżowanie dróg w m. Iwonicz</t>
  </si>
  <si>
    <t>INDIA/EPKR</t>
  </si>
  <si>
    <t>Skrzyżowanie dróg w m. Kopytowa</t>
  </si>
  <si>
    <t>KILO/EPKR</t>
  </si>
  <si>
    <t>EPKT</t>
  </si>
  <si>
    <t>KATOWICE - PYRZOWICE</t>
  </si>
  <si>
    <t>BRAVO/EPKT</t>
  </si>
  <si>
    <t>Koszęcin</t>
  </si>
  <si>
    <t>CHARLIE/EPKT</t>
  </si>
  <si>
    <t>GOLF/EPKT</t>
  </si>
  <si>
    <t>HOTEL/EPKT</t>
  </si>
  <si>
    <t>INDIA/EPKT</t>
  </si>
  <si>
    <t>Poraj - sztuczne jezioro</t>
  </si>
  <si>
    <t>JULIETT/EPKT</t>
  </si>
  <si>
    <t>Zendek - kościół</t>
  </si>
  <si>
    <t>NOVEMBER/EPKT</t>
  </si>
  <si>
    <t>Bytom Karb - skrzyż. dróg E40 i 94</t>
  </si>
  <si>
    <t>TANGO/EPKT</t>
  </si>
  <si>
    <t>Woźniki - skrzyżowanie</t>
  </si>
  <si>
    <t>WHISKEY/EPKT</t>
  </si>
  <si>
    <t>Pyrzowice - węzeł dróg S1 i 913</t>
  </si>
  <si>
    <t>X-RAY/EPKT</t>
  </si>
  <si>
    <t>EPKW</t>
  </si>
  <si>
    <t>KANIÓW</t>
  </si>
  <si>
    <t>m. Pszczyna - skrzyżowanie dróg</t>
  </si>
  <si>
    <t>FOXTROT/EPKW</t>
  </si>
  <si>
    <t>QUEBEC</t>
  </si>
  <si>
    <t>Czechowice-Dziedzice - komin elektrowni</t>
  </si>
  <si>
    <t>QUEBEC/EPKW</t>
  </si>
  <si>
    <t>VICTOR</t>
  </si>
  <si>
    <t>m. Wilamowice - kościół</t>
  </si>
  <si>
    <t>VICTOR/EPKW</t>
  </si>
  <si>
    <t>EPLB</t>
  </si>
  <si>
    <t>LUBLIN / Świdnik</t>
  </si>
  <si>
    <t>Zakład Centro-Chem w m. Turka</t>
  </si>
  <si>
    <t>CHARLIE/EPLB</t>
  </si>
  <si>
    <t>Biskupice - skrzyżowanie</t>
  </si>
  <si>
    <t>ECHO/EPLB</t>
  </si>
  <si>
    <t>Wiadukt S12 k. Kalinówki</t>
  </si>
  <si>
    <t>FOXTROT/EPLB</t>
  </si>
  <si>
    <t>Kościół przy j. Rogóźno</t>
  </si>
  <si>
    <t>GOLF/EPLB</t>
  </si>
  <si>
    <t>Cmentarz w m. Chmiel Pierwszy</t>
  </si>
  <si>
    <t>HOTEL/EPLB</t>
  </si>
  <si>
    <t>Węzeł Rudnik na S12 (IKEA)</t>
  </si>
  <si>
    <t>INDIA/EPLB</t>
  </si>
  <si>
    <t>Fabryka w m. Jacków</t>
  </si>
  <si>
    <t>MIKE/EPLB</t>
  </si>
  <si>
    <t>Węzeł Tatary na S12</t>
  </si>
  <si>
    <t>OSCAR/EPLB</t>
  </si>
  <si>
    <t>Hurtownia w Osmolice Pierwsze</t>
  </si>
  <si>
    <t>X-RAY/EPLB</t>
  </si>
  <si>
    <t>YANKEE</t>
  </si>
  <si>
    <t>Kościół parafialny w m. Kijany</t>
  </si>
  <si>
    <t>YANKEE/EPLB</t>
  </si>
  <si>
    <t>EPLL</t>
  </si>
  <si>
    <t>ŁÓDŹ / Lublinek</t>
  </si>
  <si>
    <t>Choszczewo - skrzyżowanie</t>
  </si>
  <si>
    <t>CHARLIE/EPLL</t>
  </si>
  <si>
    <t>Hala przemysłowa w Teolin</t>
  </si>
  <si>
    <t>ECHO/EPLL</t>
  </si>
  <si>
    <t>Stacja Nadawcza BTS GSM w Pelagia</t>
  </si>
  <si>
    <t>GOLF/EPLL</t>
  </si>
  <si>
    <t>Skrzyż. DK14 z S14 k. Chechło Drugie</t>
  </si>
  <si>
    <t>HOTEL/EPLL</t>
  </si>
  <si>
    <t>S strona Koluszki</t>
  </si>
  <si>
    <t>KILO/EPLL</t>
  </si>
  <si>
    <t>Hale przemysł. 1NM SW od Aleksandrów Łódzki</t>
  </si>
  <si>
    <t>LIMA/EPLL</t>
  </si>
  <si>
    <t>Skrzyż. DK1 z S8 na S od Rzgów</t>
  </si>
  <si>
    <t>ROMEO/EPLL</t>
  </si>
  <si>
    <t>Południowy skraj stawów</t>
  </si>
  <si>
    <t>SIERRA/EPLL</t>
  </si>
  <si>
    <t>Kwiatkowice przy DK710</t>
  </si>
  <si>
    <t>WHISKEY/EPLL</t>
  </si>
  <si>
    <t>Skrzyżowanie autostrad A1 i A2</t>
  </si>
  <si>
    <t>X-RAY/EPLL</t>
  </si>
  <si>
    <t>Kaufland 1NM E od Konstantynów Łódzki</t>
  </si>
  <si>
    <t>YANKEE/EPLL</t>
  </si>
  <si>
    <t>EPLS</t>
  </si>
  <si>
    <t>LESZNO</t>
  </si>
  <si>
    <t>Zbiornik wodny w m. Rydzyna</t>
  </si>
  <si>
    <t>ECHO/EPLS</t>
  </si>
  <si>
    <t>Przejazd kolej. w m. Lipno</t>
  </si>
  <si>
    <t>NOVEMBER/EPLS</t>
  </si>
  <si>
    <t>Zakład produkcyjny w m. Chróścina</t>
  </si>
  <si>
    <t>SIERRA/EPLS</t>
  </si>
  <si>
    <t>Pałac w m. Niechłód</t>
  </si>
  <si>
    <t>WHISKEY/EPLS</t>
  </si>
  <si>
    <t>EPML</t>
  </si>
  <si>
    <t>MIELEC</t>
  </si>
  <si>
    <t>ALFA/EPML</t>
  </si>
  <si>
    <t>DELTA/EPML</t>
  </si>
  <si>
    <t>JULIETT/EPML</t>
  </si>
  <si>
    <t>OSCAR/EPML</t>
  </si>
  <si>
    <t>PAPA/EPML</t>
  </si>
  <si>
    <t>ROMEO/EPML</t>
  </si>
  <si>
    <t>SIERRA/EPML</t>
  </si>
  <si>
    <t>EPMO</t>
  </si>
  <si>
    <t>WARSZAWA / Modlin</t>
  </si>
  <si>
    <t>Skrzyżowanie dróg w m. Przyborowice</t>
  </si>
  <si>
    <t>HOTEL/EPMO</t>
  </si>
  <si>
    <t>NW kraniec m. Wymysły</t>
  </si>
  <si>
    <t>INDIA/EPMO</t>
  </si>
  <si>
    <t>JULIETT/EPMO</t>
  </si>
  <si>
    <t>Most na Wiśle m. Wyszogród</t>
  </si>
  <si>
    <t>QUEBEC/EPMO</t>
  </si>
  <si>
    <t>Wiadukt na skrzyż. S7 i linii kolej. w Płońsk</t>
  </si>
  <si>
    <t>SIERRA/EPMO</t>
  </si>
  <si>
    <t>Most drogowy (S7) nad Wisłą</t>
  </si>
  <si>
    <t>UNIFORM/EPMO</t>
  </si>
  <si>
    <t>Kościół w m. Leoncin</t>
  </si>
  <si>
    <t>VICTOR/EPMO</t>
  </si>
  <si>
    <t>1 km na N od stacji kolejowej Nasielsk</t>
  </si>
  <si>
    <t>YANKEE/EPMO</t>
  </si>
  <si>
    <t>EPMR</t>
  </si>
  <si>
    <t>MIROSŁAWICE</t>
  </si>
  <si>
    <t>Kopalnia między Sobótka a Kunów</t>
  </si>
  <si>
    <t>ALFA/EPMR</t>
  </si>
  <si>
    <t>Kopalnia piasku k. Rolantowice</t>
  </si>
  <si>
    <t>ECHO/EPMR</t>
  </si>
  <si>
    <t>Kopalnia k. Zachowice</t>
  </si>
  <si>
    <t>MIKE/EPMR</t>
  </si>
  <si>
    <t>Zalew Mietkowski</t>
  </si>
  <si>
    <t>WHISKEY/EPMR</t>
  </si>
  <si>
    <t>EPNC</t>
  </si>
  <si>
    <t>CHRCYNNO</t>
  </si>
  <si>
    <t>Miejscowość Winnica</t>
  </si>
  <si>
    <t>ALFA/EPNC</t>
  </si>
  <si>
    <t>Most na rzece Narew w m. Wierzbica</t>
  </si>
  <si>
    <t>BRAVO/EPNC</t>
  </si>
  <si>
    <t>Tama na rzece Narew w m. Dębe</t>
  </si>
  <si>
    <t>CHARLIE/EPNC</t>
  </si>
  <si>
    <t>1 km N od stacji kolejowej Nasielsk</t>
  </si>
  <si>
    <t>YANKEE/EPNC</t>
  </si>
  <si>
    <t>EPNT</t>
  </si>
  <si>
    <t>NOWY TARG</t>
  </si>
  <si>
    <t>Most na Dunajcu w m. Dębno (trasa Nowy Targ - Krościenko)</t>
  </si>
  <si>
    <t>ALFA/EPNT</t>
  </si>
  <si>
    <t>Kościół w m. Biały Dunajec</t>
  </si>
  <si>
    <t>BRAVO/EPNT</t>
  </si>
  <si>
    <t>Most na Czarnym Dunajcu w m. Krauszów</t>
  </si>
  <si>
    <t>CHARLIE/EPNT</t>
  </si>
  <si>
    <t>Kościół w m. Klikuszowa (trasa Chabówka - Nowy Targ)</t>
  </si>
  <si>
    <t>DELTA/EPNT</t>
  </si>
  <si>
    <t>EPOD</t>
  </si>
  <si>
    <t>DAJTKI k/Olsztyna</t>
  </si>
  <si>
    <t>Dywidy - kościół</t>
  </si>
  <si>
    <t>NOVEMBER/EPOD</t>
  </si>
  <si>
    <t>Miejscowość Dorotowo</t>
  </si>
  <si>
    <t>SIERRA/EPOD</t>
  </si>
  <si>
    <t>Skrzyżowanie dróg w m. Łęgajny</t>
  </si>
  <si>
    <t>WHISKEY/EPOD</t>
  </si>
  <si>
    <t>EPOM</t>
  </si>
  <si>
    <t>MICHAŁKÓW k/Ostrowa Wlkp.</t>
  </si>
  <si>
    <t>Centrum logistyczne</t>
  </si>
  <si>
    <t>ECHO/EPOM</t>
  </si>
  <si>
    <t>Sobótka</t>
  </si>
  <si>
    <t>NOVEMBER/EPOM</t>
  </si>
  <si>
    <t>Skrzyż. dróg Ostrów Wlkp.-Kalisz</t>
  </si>
  <si>
    <t>SIERRA/EPOM</t>
  </si>
  <si>
    <t>EPOP</t>
  </si>
  <si>
    <t>POLSKA NOWA WIEŚ k/Opola</t>
  </si>
  <si>
    <t>Przejazd kolej. na drodze Chróścina-Wrzoski</t>
  </si>
  <si>
    <t>ALFA/EPOP</t>
  </si>
  <si>
    <t>Krawędź lasu wzdłuż A4 k. Jaśkowice</t>
  </si>
  <si>
    <t>BRAVO/EPOP</t>
  </si>
  <si>
    <t>Węzeł Prądy (autostrada A4)</t>
  </si>
  <si>
    <t>CHARLIE/EPOP</t>
  </si>
  <si>
    <t>Most na Odrze (północna obwodnica Opola)</t>
  </si>
  <si>
    <t>HOTEL/EPOP</t>
  </si>
  <si>
    <t>Węzeł Dąbrówka (autostrada A4)</t>
  </si>
  <si>
    <t>INDIA/EPOP</t>
  </si>
  <si>
    <t>Stawy przy A4 na wys. m. Magnuszowice</t>
  </si>
  <si>
    <t>KILO/EPOP</t>
  </si>
  <si>
    <t>EPPB</t>
  </si>
  <si>
    <t>POZNAŃ - BEDNARY</t>
  </si>
  <si>
    <t>Murowana Goślina - kościół</t>
  </si>
  <si>
    <t>ALFA/EPPB</t>
  </si>
  <si>
    <t>Tuczno - jezioro Tuczno</t>
  </si>
  <si>
    <t>BRAVO/EPPB</t>
  </si>
  <si>
    <t>Kłecko - rynek</t>
  </si>
  <si>
    <t>LIMA/EPPB</t>
  </si>
  <si>
    <t>Skoki - stadion</t>
  </si>
  <si>
    <t>OSCAR/EPPB</t>
  </si>
  <si>
    <t>Pobiedziska - stacja kolejowa</t>
  </si>
  <si>
    <t>PAPA/EPPB</t>
  </si>
  <si>
    <t>EPPK</t>
  </si>
  <si>
    <t>POZNAŃ / Kobylnica</t>
  </si>
  <si>
    <t>ALFA/EPPK</t>
  </si>
  <si>
    <t>Tuczno - j. Tuczno</t>
  </si>
  <si>
    <t>BRAVO/EPPK</t>
  </si>
  <si>
    <t>PAPA/EPPK</t>
  </si>
  <si>
    <t>Kostrzyn - stacja kolejowa</t>
  </si>
  <si>
    <t>SIERRA/EPPK</t>
  </si>
  <si>
    <t>Oczyszczalnia ścieków w m. Koziegłowy</t>
  </si>
  <si>
    <t>TANGO/EPPK</t>
  </si>
  <si>
    <t>EPPL</t>
  </si>
  <si>
    <t>PŁOCK</t>
  </si>
  <si>
    <t>m. Słupno (ok. 10 km od ARP)</t>
  </si>
  <si>
    <t>ECHO/EPPL</t>
  </si>
  <si>
    <t>Skrzyż. w m. Goślice (ok. 7 km od ARP)</t>
  </si>
  <si>
    <t>NOVEMBER/EPPL</t>
  </si>
  <si>
    <t>Skrzyż. w m. Maszewo (ok. 7 km od ARP)</t>
  </si>
  <si>
    <t>WHISKEY/EPPL</t>
  </si>
  <si>
    <t>EPPO</t>
  </si>
  <si>
    <t>POZNAŃ / Ławica</t>
  </si>
  <si>
    <t>Wiadukt obwodnicy nad torami kolejowymi</t>
  </si>
  <si>
    <t>DELTA/EPPO</t>
  </si>
  <si>
    <t>Stadion piłkarski</t>
  </si>
  <si>
    <t>FOXTROT/EPPO</t>
  </si>
  <si>
    <t>Jasnozielony magazyn</t>
  </si>
  <si>
    <t>GOLF/EPPO</t>
  </si>
  <si>
    <t>Hotel na S krańcu J. Kierskiego</t>
  </si>
  <si>
    <t>HOTEL/EPPO</t>
  </si>
  <si>
    <t>Radar lotniczy</t>
  </si>
  <si>
    <t>INDIA/EPPO</t>
  </si>
  <si>
    <t>Węzeł drogowy Poznań-Ławica</t>
  </si>
  <si>
    <t>JULIETT/EPPO</t>
  </si>
  <si>
    <t>Park Orientacji Przestrzennej w Owińskach</t>
  </si>
  <si>
    <t>QUEBEC/EPPO</t>
  </si>
  <si>
    <t>Oczyszczalnia ścieków w Koziegłowy</t>
  </si>
  <si>
    <t>TANGO/EPPO</t>
  </si>
  <si>
    <t>Grobla przy stawie Nowakowskiego</t>
  </si>
  <si>
    <t>UNIFORM/EPPO</t>
  </si>
  <si>
    <t>NE skraj J. Kierskiego</t>
  </si>
  <si>
    <t>VICTOR/EPPO</t>
  </si>
  <si>
    <t>N skraj J. Niepruszewskiego</t>
  </si>
  <si>
    <t>X-RAY/EPPO</t>
  </si>
  <si>
    <t>Wiadukt Narutowicza</t>
  </si>
  <si>
    <t>YANKEE/EPPO</t>
  </si>
  <si>
    <t>EPPT</t>
  </si>
  <si>
    <t>PIOTRKÓW TRYBUNALSKI</t>
  </si>
  <si>
    <t>Przygłów - skrzyż. S74 z rzeką Luciąża</t>
  </si>
  <si>
    <t>ECHO/EPPT</t>
  </si>
  <si>
    <t>Gorzkowice - kościół</t>
  </si>
  <si>
    <t>FOXTROT/EPPT</t>
  </si>
  <si>
    <t>Raków - skrzyż. S8/716</t>
  </si>
  <si>
    <t>NOVEMBER/EPPT</t>
  </si>
  <si>
    <t>Ręczno - kościół</t>
  </si>
  <si>
    <t>ROMEO/EPPT</t>
  </si>
  <si>
    <t>Rozprza - przejazd kolejowy na W od miejscowości</t>
  </si>
  <si>
    <t>SIERRA/EPPT</t>
  </si>
  <si>
    <t>Skrzyż. wielopoziomowe A1 i DK8</t>
  </si>
  <si>
    <t>WHISKEY/EPPT</t>
  </si>
  <si>
    <t>EPRA</t>
  </si>
  <si>
    <t>WARSZAWA - RADOM (Sadków)</t>
  </si>
  <si>
    <t>CTR/MCTR/TMA</t>
  </si>
  <si>
    <t>Stawy w m. Bujak</t>
  </si>
  <si>
    <t>BRAVO/EPRA</t>
  </si>
  <si>
    <t>Wytwórnia Mas Bitumicznych w Ciepielów</t>
  </si>
  <si>
    <t>CHARLIE/EPRA</t>
  </si>
  <si>
    <t>Wytwórnia betonu w m. Przejazd</t>
  </si>
  <si>
    <t>FOXTROT/EPRA</t>
  </si>
  <si>
    <t>Zajazd w m. Makowiec</t>
  </si>
  <si>
    <t>HOTEL/EPRA</t>
  </si>
  <si>
    <t>Węzeł drogowy S7 i 727 w m. Szydłowiec</t>
  </si>
  <si>
    <t>INDIA/EPRA</t>
  </si>
  <si>
    <t>Stacja paliw w m. Wieniawa (W część)</t>
  </si>
  <si>
    <t>JULIETT/EPRA</t>
  </si>
  <si>
    <t>Ciepłownia 'Północ' w Radomiu</t>
  </si>
  <si>
    <t>NOVEMBER/EPRA</t>
  </si>
  <si>
    <t>Areszt Śledczy w Radomiu</t>
  </si>
  <si>
    <t>ROMEO/EPRA</t>
  </si>
  <si>
    <t>Stacja paliw przy DK9, na S od Skaryszew</t>
  </si>
  <si>
    <t>SIERRA/EPRA</t>
  </si>
  <si>
    <t>Zwoleń - stacja paliw przy skrzyż. DK12/787</t>
  </si>
  <si>
    <t>ZULU/EPRA</t>
  </si>
  <si>
    <t>EPRG</t>
  </si>
  <si>
    <t>GOTARTOWICE k/Rybnika</t>
  </si>
  <si>
    <t>Gotartowice ALFA</t>
  </si>
  <si>
    <t>ALFA/EPRG</t>
  </si>
  <si>
    <t>Gotartowice BRAVO</t>
  </si>
  <si>
    <t>BRAVO/EPRG</t>
  </si>
  <si>
    <t>Gotartowice CHARLIE</t>
  </si>
  <si>
    <t>CHARLIE/EPRG</t>
  </si>
  <si>
    <t>EPRP</t>
  </si>
  <si>
    <t>PIASTÓW k/Radomia</t>
  </si>
  <si>
    <t>Skrzyż. S7 z drogą wojewódzką</t>
  </si>
  <si>
    <t>DELTA/EPRP</t>
  </si>
  <si>
    <t>m. Zakrzew</t>
  </si>
  <si>
    <t>GOLF/EPRP</t>
  </si>
  <si>
    <t>Ciepłownia Północ w Radomiu</t>
  </si>
  <si>
    <t>NOVEMBER/EPRP</t>
  </si>
  <si>
    <t>m. Przytyk</t>
  </si>
  <si>
    <t>TANGO/EPRP</t>
  </si>
  <si>
    <t>m. Jedlińsk</t>
  </si>
  <si>
    <t>WHISKEY/EPRP</t>
  </si>
  <si>
    <t>EPRU</t>
  </si>
  <si>
    <t>RUDNIKI k/Częstochowy</t>
  </si>
  <si>
    <t>m. Kłomnice</t>
  </si>
  <si>
    <t>ECHO/EPRU</t>
  </si>
  <si>
    <t>m. Kruszyna</t>
  </si>
  <si>
    <t>NOVEMBER/EPRU</t>
  </si>
  <si>
    <t>m. Mstów</t>
  </si>
  <si>
    <t>SIERRA/EPRU</t>
  </si>
  <si>
    <t>Stawy rybne w m. Kopiec</t>
  </si>
  <si>
    <t>WHISKEY/EPRU</t>
  </si>
  <si>
    <t>EPRZ</t>
  </si>
  <si>
    <t>RZESZÓW - JASIONKA</t>
  </si>
  <si>
    <t>Boguchwała</t>
  </si>
  <si>
    <t>BRAVO/EPRZ</t>
  </si>
  <si>
    <t>Kańczuga (zach. strona miejscowości)</t>
  </si>
  <si>
    <t>GOLF/EPRZ</t>
  </si>
  <si>
    <t>Skrzyżowanie w m. Granica</t>
  </si>
  <si>
    <t>HOTEL/EPRZ</t>
  </si>
  <si>
    <t>Kolbuszowa (wsch. strona miejscowości)</t>
  </si>
  <si>
    <t>KILO/EPRZ</t>
  </si>
  <si>
    <t>Sokołów Małopolski (N strona miejscowości)</t>
  </si>
  <si>
    <t>MIKE/EPRZ</t>
  </si>
  <si>
    <t>Wysoka Głogowska (N strona miejscowości)</t>
  </si>
  <si>
    <t>NOVEMBER/EPRZ</t>
  </si>
  <si>
    <t>Krasne (centrum handlowe)</t>
  </si>
  <si>
    <t>QUEBEC/EPRZ</t>
  </si>
  <si>
    <t>Tyczyn (N strona miejscowości)</t>
  </si>
  <si>
    <t>TANGO/EPRZ</t>
  </si>
  <si>
    <t>Sędziszów Małopolski (wsch. strona)</t>
  </si>
  <si>
    <t>WHISKEY/EPRZ</t>
  </si>
  <si>
    <t>Świlcza (skrzyż. S19 z DK94)</t>
  </si>
  <si>
    <t>YANKEE/EPRZ</t>
  </si>
  <si>
    <t>EPSC</t>
  </si>
  <si>
    <t>SZCZECIN / Goleniów</t>
  </si>
  <si>
    <t>Łozienica</t>
  </si>
  <si>
    <t>INDIA/EPSC</t>
  </si>
  <si>
    <t>Kościół w Krzywicach</t>
  </si>
  <si>
    <t>NOVEMBER/EPSC</t>
  </si>
  <si>
    <t>Olchowo</t>
  </si>
  <si>
    <t>ROMEO/EPSC</t>
  </si>
  <si>
    <t>Stawy na E od miasta Goleniów</t>
  </si>
  <si>
    <t>SIERRA/EPSC</t>
  </si>
  <si>
    <t>EPSD</t>
  </si>
  <si>
    <t>SZCZECIN DĄBIE</t>
  </si>
  <si>
    <t>Jezioro Portowe, kształt trójkąta</t>
  </si>
  <si>
    <t>ALFA/EPSD</t>
  </si>
  <si>
    <t>SE część Jeziora Dąbie Małe</t>
  </si>
  <si>
    <t>BRAVO/EPSD</t>
  </si>
  <si>
    <t>Bocznica kolej. przy st. PKP Szczecin Dąbie</t>
  </si>
  <si>
    <t>CHARLIE/EPSD</t>
  </si>
  <si>
    <t>Most Gryfitów nad Regalicą</t>
  </si>
  <si>
    <t>DELTA/EPSD</t>
  </si>
  <si>
    <t>Stacja PKP Reptowo</t>
  </si>
  <si>
    <t>PAPA/EPSD</t>
  </si>
  <si>
    <t>EPSK</t>
  </si>
  <si>
    <t>KRĘPA k/Słupska</t>
  </si>
  <si>
    <t>Stadion w m. Dębnica Kaszubska</t>
  </si>
  <si>
    <t>DELTA/EPSK</t>
  </si>
  <si>
    <t>Kościół w m. Kwakowo</t>
  </si>
  <si>
    <t>KILO/EPSK</t>
  </si>
  <si>
    <t>Skrzyż. obwodnicy Słupska i drogi nr 21</t>
  </si>
  <si>
    <t>LIMA/EPSK</t>
  </si>
  <si>
    <t>Południowa strona m. Mianowice</t>
  </si>
  <si>
    <t>MIKE/EPSK</t>
  </si>
  <si>
    <t>EPST</t>
  </si>
  <si>
    <t>TURBIA k/Stalowej Woli</t>
  </si>
  <si>
    <t>Turbia GOLF</t>
  </si>
  <si>
    <t>GOLF/EPST</t>
  </si>
  <si>
    <t>Turbia LIMA</t>
  </si>
  <si>
    <t>LIMA/EPST</t>
  </si>
  <si>
    <t>Turbia MIKE</t>
  </si>
  <si>
    <t>MIKE/EPST</t>
  </si>
  <si>
    <t>Turbia PAPA</t>
  </si>
  <si>
    <t>PAPA/EPST</t>
  </si>
  <si>
    <t>EPSU</t>
  </si>
  <si>
    <t>SUWAŁKI</t>
  </si>
  <si>
    <t>Rozwidlenie dróg w m. Prudziszki</t>
  </si>
  <si>
    <t>NOVEMBER/EPSU</t>
  </si>
  <si>
    <t>Nowinka</t>
  </si>
  <si>
    <t>SIERRA/EPSU</t>
  </si>
  <si>
    <t>Kościół na wzniesieniu w Bakałarzewo</t>
  </si>
  <si>
    <t>WHISKEY/EPSU</t>
  </si>
  <si>
    <t>EPSY</t>
  </si>
  <si>
    <t>OLSZTYN - MAZURY (Szymany)</t>
  </si>
  <si>
    <t>Jezioro Brajnickie</t>
  </si>
  <si>
    <t>BRAVO/EPSY</t>
  </si>
  <si>
    <t>Rondo w m. Chorzele</t>
  </si>
  <si>
    <t>CHARLIE/EPSY</t>
  </si>
  <si>
    <t>Zespół Szkolno-Przedszkolny w Dźwierzutach</t>
  </si>
  <si>
    <t>DELTA/EPSY</t>
  </si>
  <si>
    <t>1 km SE od m. Szymany</t>
  </si>
  <si>
    <t>ECHO/EPSY</t>
  </si>
  <si>
    <t>Kościół w m. Zimna Woda</t>
  </si>
  <si>
    <t>KILO/EPSY</t>
  </si>
  <si>
    <t>Zamek w Nidzicy</t>
  </si>
  <si>
    <t>NOVEMBER/EPSY</t>
  </si>
  <si>
    <t>Jezioro Sasek Mały</t>
  </si>
  <si>
    <t>WHISKEY/EPSY</t>
  </si>
  <si>
    <t>Skrzyżowanie dróg w m. Zieleniec</t>
  </si>
  <si>
    <t>ZULU/EPSY</t>
  </si>
  <si>
    <t>EPTO</t>
  </si>
  <si>
    <t>TORUŃ</t>
  </si>
  <si>
    <t>Skrzyż. dróg w m. Łysomice</t>
  </si>
  <si>
    <t>ALFA/EPTO</t>
  </si>
  <si>
    <t>Obszar nad Wisłą k. mostu drog. i dworca</t>
  </si>
  <si>
    <t>BRAVO/EPTO</t>
  </si>
  <si>
    <t>Skrzyż. dróg N od Złotoria (niedost. w EPTR11B)</t>
  </si>
  <si>
    <t>DELTA/EPTO</t>
  </si>
  <si>
    <t>Wiadukt kolejowy w m. Cierpice</t>
  </si>
  <si>
    <t>FOXTROT/EPTO</t>
  </si>
  <si>
    <t>EPWA</t>
  </si>
  <si>
    <t>WARSZAWA / Chopin</t>
  </si>
  <si>
    <t>Magazyn w m. Siestrzeń / Warehouse in Siestrzeń</t>
  </si>
  <si>
    <t>ALFA/EPWA</t>
  </si>
  <si>
    <t>Fabryka w m. Błonie / Factory in Błonie</t>
  </si>
  <si>
    <t>BRAVO/EPWA</t>
  </si>
  <si>
    <t>m. Wołomin / Wołomin</t>
  </si>
  <si>
    <t>DELTA/EPWA</t>
  </si>
  <si>
    <t>ECHO/EPWA</t>
  </si>
  <si>
    <t>Skrzyżowanie dróg 1 km na północ od Borzęcin Duży</t>
  </si>
  <si>
    <t>FOXTROT/EPWA</t>
  </si>
  <si>
    <t>GOLF/EPWA</t>
  </si>
  <si>
    <t>m. Jabłonna</t>
  </si>
  <si>
    <t>JULIETT/EPWA</t>
  </si>
  <si>
    <t>KILO/EPWA</t>
  </si>
  <si>
    <t>LUQIQ/EPWA</t>
  </si>
  <si>
    <t>MIKE/EPWA</t>
  </si>
  <si>
    <t>MULZA</t>
  </si>
  <si>
    <t>1,5 km na zachód od m. Zaborów</t>
  </si>
  <si>
    <t>MULZA/EPWA</t>
  </si>
  <si>
    <t>NOVEMBER/EPWA</t>
  </si>
  <si>
    <t>Węzeł ul. Czerniakowska</t>
  </si>
  <si>
    <t>OSCAR/EPWA</t>
  </si>
  <si>
    <t>PAPA/EPWA</t>
  </si>
  <si>
    <t>Centrum handlowe Janki</t>
  </si>
  <si>
    <t>ROMEO/EPWA</t>
  </si>
  <si>
    <t>TANGO/EPWA</t>
  </si>
  <si>
    <t>Wieża radaru</t>
  </si>
  <si>
    <t>WHISKEY/EPWA</t>
  </si>
  <si>
    <t>PTAK Warsaw EXPO</t>
  </si>
  <si>
    <t>X-RAY/EPWA</t>
  </si>
  <si>
    <t>ZULU/EPWA</t>
  </si>
  <si>
    <t>EPWK</t>
  </si>
  <si>
    <t>KRUSZYN k/Włocławka</t>
  </si>
  <si>
    <t>Skrzyż. DK91 i drogi woj. 265</t>
  </si>
  <si>
    <t>ECHO/EPWK</t>
  </si>
  <si>
    <t>Zapora na Wiśle we Włocławku</t>
  </si>
  <si>
    <t>NOVEMBER/EPWK</t>
  </si>
  <si>
    <t>Kościół w m. Boniewo</t>
  </si>
  <si>
    <t>SIERRA/EPWK</t>
  </si>
  <si>
    <t>Zabudowa w m. Brześć Kujawski</t>
  </si>
  <si>
    <t>WHISKEY/EPWK</t>
  </si>
  <si>
    <t>EPWR</t>
  </si>
  <si>
    <t>WROCŁAW / Strachowice</t>
  </si>
  <si>
    <t>Gniechowice</t>
  </si>
  <si>
    <t>GOLF/EPWR</t>
  </si>
  <si>
    <t>Kostomłoty</t>
  </si>
  <si>
    <t>KILO/EPWR</t>
  </si>
  <si>
    <t>Zakład przemysłowy</t>
  </si>
  <si>
    <t>NOVEMBER/EPWR</t>
  </si>
  <si>
    <t>Most Rędziński</t>
  </si>
  <si>
    <t>ROMEO/EPWR</t>
  </si>
  <si>
    <t>Smolec</t>
  </si>
  <si>
    <t>SIERRA/EPWR</t>
  </si>
  <si>
    <t>Zakole Odry na W od m. Uraz</t>
  </si>
  <si>
    <t>ZULU/EPWR</t>
  </si>
  <si>
    <t>EPWS</t>
  </si>
  <si>
    <t>SZYMANÓW</t>
  </si>
  <si>
    <t>m. Długołęka</t>
  </si>
  <si>
    <t>DELTA/EPWS</t>
  </si>
  <si>
    <t>m. Oborniki Śląskie</t>
  </si>
  <si>
    <t>OSCAR/EPWS</t>
  </si>
  <si>
    <t>ROMEO/EPWS</t>
  </si>
  <si>
    <t>m. Trzebnica</t>
  </si>
  <si>
    <t>TANGO/EPWS</t>
  </si>
  <si>
    <t>ZULU/EPWS</t>
  </si>
  <si>
    <t>EPZA</t>
  </si>
  <si>
    <t>ZAMOŚĆ</t>
  </si>
  <si>
    <t>Skrzyż. w m. Adamów (12 km, 190° od ARP)</t>
  </si>
  <si>
    <t>ALFA/EPZA</t>
  </si>
  <si>
    <t>Zbiorniki zakładów tłuszczowych w m. Bodaczów</t>
  </si>
  <si>
    <t>BRAVO/EPZA</t>
  </si>
  <si>
    <t>Skrzyż. w m. Lipsko; stawy rybne</t>
  </si>
  <si>
    <t>LIMA/EPZA</t>
  </si>
  <si>
    <t>Skrzyż. S17 i S837 w m. Sitaniec; cmentarz</t>
  </si>
  <si>
    <t>SIERRA/EPZA</t>
  </si>
  <si>
    <t>Wiadukt nad torami w m. Zawada</t>
  </si>
  <si>
    <t>ZULU/EPZA</t>
  </si>
  <si>
    <t>EPZG</t>
  </si>
  <si>
    <t>ZIELONA GÓRA / Babimost</t>
  </si>
  <si>
    <t>Cigacice</t>
  </si>
  <si>
    <t>CHARLIE/EPZG</t>
  </si>
  <si>
    <t>Darnawa</t>
  </si>
  <si>
    <t>DELTA/EPZG</t>
  </si>
  <si>
    <t>Stacja kolejowa w m. Nowy Tomyśl</t>
  </si>
  <si>
    <t>INDIA/EPZG</t>
  </si>
  <si>
    <t>Stacja kolejowa w Kargowa</t>
  </si>
  <si>
    <t>KILO/EPZG</t>
  </si>
  <si>
    <t>Babimost - skrzyż. linii kolej. z drogą</t>
  </si>
  <si>
    <t>NOVEMBER/EPZG</t>
  </si>
  <si>
    <t>NE część jeziora Wojnowskiego</t>
  </si>
  <si>
    <t>SIERRA/EPZG</t>
  </si>
  <si>
    <t>Poł. skraj j. Berzyńskiego k. Wolsztyn</t>
  </si>
  <si>
    <t>WHISKEY/EPZG</t>
  </si>
  <si>
    <t>Wiadukt kolejowy k. Zbąszynek</t>
  </si>
  <si>
    <t>ZULU/EPZG</t>
  </si>
  <si>
    <t>EPZP</t>
  </si>
  <si>
    <t>PRZYLEP k/Zielonej Góry</t>
  </si>
  <si>
    <t>Racula - węzeł S3</t>
  </si>
  <si>
    <t>ECHO/EPZP</t>
  </si>
  <si>
    <t>Drzonów - Lubuskie Muzeum Wojskowe</t>
  </si>
  <si>
    <t>MIKE/EPZP</t>
  </si>
  <si>
    <t>Łężyca - oczyszczalnia ścieków</t>
  </si>
  <si>
    <t>NOVEMBER/EPZP</t>
  </si>
  <si>
    <t>Nietków - most kolejowy na Odrze</t>
  </si>
  <si>
    <t>OSCAR/EPZP</t>
  </si>
  <si>
    <t>Przylep - rondo</t>
  </si>
  <si>
    <t>ROMEO/EPZP</t>
  </si>
  <si>
    <t>Zawada - centrum miejscowości</t>
  </si>
  <si>
    <t>ZULU/EPZP</t>
  </si>
  <si>
    <t>EPZR</t>
  </si>
  <si>
    <t>ŻAR k/Żywca</t>
  </si>
  <si>
    <t>Gilowice - skrzyż. dróg</t>
  </si>
  <si>
    <t>GOLF/EPZR</t>
  </si>
  <si>
    <t>Wschodni brzeg J. Żywieckiego - półwysep</t>
  </si>
  <si>
    <t>JULIETT/EPZR</t>
  </si>
  <si>
    <t>Kobiernice - rondo</t>
  </si>
  <si>
    <t>KILO/EPZR</t>
  </si>
  <si>
    <t>Międzybrodzie Bialskie - skrzyż. w centrum</t>
  </si>
  <si>
    <t>MIKE/EPZR</t>
  </si>
  <si>
    <t>Porąbka - most na Sole</t>
  </si>
  <si>
    <t>PAPA/EPZR</t>
  </si>
  <si>
    <t>Wilkowice - skrzyż. w centrum</t>
  </si>
  <si>
    <t>WHISKEY/EPZR</t>
  </si>
  <si>
    <t>ARP</t>
  </si>
  <si>
    <t>Aerodrome Reference Point — ALEKSANDROWICE k/Bielska-Białej</t>
  </si>
  <si>
    <t>EPBA ARP</t>
  </si>
  <si>
    <t>Aerodrome Reference Point — WARSZAWA - BABICE</t>
  </si>
  <si>
    <t>EPBC ARP</t>
  </si>
  <si>
    <t>Aerodrome Reference Point — BIAŁYSTOK KRYWLANY</t>
  </si>
  <si>
    <t>EPBK ARP</t>
  </si>
  <si>
    <t>Aerodrome Reference Point — BYDGOSZCZ</t>
  </si>
  <si>
    <t>EPBY ARP</t>
  </si>
  <si>
    <t>Aerodrome Reference Point — DEPUŁTYCZE KRÓLEWSKIE</t>
  </si>
  <si>
    <t>EPCD ARP</t>
  </si>
  <si>
    <t>Aerodrome Reference Point — GDAŃSK im. Lecha Wałęsy</t>
  </si>
  <si>
    <t>EPGD ARP</t>
  </si>
  <si>
    <t>Aerodrome Reference Point — LISIE KĄTY k/Grudziądza</t>
  </si>
  <si>
    <t>EPGI ARP</t>
  </si>
  <si>
    <t>Aerodrome Reference Point — GLIWICE</t>
  </si>
  <si>
    <t>EPGL ARP</t>
  </si>
  <si>
    <t>Aerodrome Reference Point — INOWROCŁAW</t>
  </si>
  <si>
    <t>EPIN ARP</t>
  </si>
  <si>
    <t>Aerodrome Reference Point — JELENIA GÓRA</t>
  </si>
  <si>
    <t>EPJG ARP</t>
  </si>
  <si>
    <t>Aerodrome Reference Point — JEŻÓW SUDECKI k/Jeleniej Góry</t>
  </si>
  <si>
    <t>EPJS ARP</t>
  </si>
  <si>
    <t>Aerodrome Reference Point — MASŁÓW k/Kielc</t>
  </si>
  <si>
    <t>EPKA ARP</t>
  </si>
  <si>
    <t>Aerodrome Reference Point — KĘTRZYN</t>
  </si>
  <si>
    <t>EPKE ARP</t>
  </si>
  <si>
    <t>Aerodrome Reference Point — KRAKÓW / Balice</t>
  </si>
  <si>
    <t>EPKK ARP</t>
  </si>
  <si>
    <t>Aerodrome Reference Point — KATOWICE MUCHOWIEC</t>
  </si>
  <si>
    <t>EPKM ARP</t>
  </si>
  <si>
    <t>Aerodrome Reference Point — POBIEDNIK k/Krakowa</t>
  </si>
  <si>
    <t>EPKP ARP</t>
  </si>
  <si>
    <t>Aerodrome Reference Point — KROSNO</t>
  </si>
  <si>
    <t>EPKR ARP</t>
  </si>
  <si>
    <t>Aerodrome Reference Point — KATOWICE - PYRZOWICE</t>
  </si>
  <si>
    <t>EPKT ARP</t>
  </si>
  <si>
    <t>Aerodrome Reference Point — KANIÓW</t>
  </si>
  <si>
    <t>EPKW ARP</t>
  </si>
  <si>
    <t>Aerodrome Reference Point — LUBLIN / Świdnik</t>
  </si>
  <si>
    <t>EPLB ARP</t>
  </si>
  <si>
    <t>Aerodrome Reference Point — ŁÓDŹ / Lublinek</t>
  </si>
  <si>
    <t>EPLL ARP</t>
  </si>
  <si>
    <t>Aerodrome Reference Point — LESZNO</t>
  </si>
  <si>
    <t>EPLS ARP</t>
  </si>
  <si>
    <t>Aerodrome Reference Point — MIELEC</t>
  </si>
  <si>
    <t>EPML ARP</t>
  </si>
  <si>
    <t>Aerodrome Reference Point — WARSZAWA / Modlin</t>
  </si>
  <si>
    <t>EPMO ARP</t>
  </si>
  <si>
    <t>Aerodrome Reference Point — MIROSŁAWICE</t>
  </si>
  <si>
    <t>EPMR ARP</t>
  </si>
  <si>
    <t>Aerodrome Reference Point — CHRCYNNO</t>
  </si>
  <si>
    <t>EPNC ARP</t>
  </si>
  <si>
    <t>Aerodrome Reference Point — NOWY TARG</t>
  </si>
  <si>
    <t>EPNT ARP</t>
  </si>
  <si>
    <t>Aerodrome Reference Point — DAJTKI k/Olsztyna</t>
  </si>
  <si>
    <t>EPOD ARP</t>
  </si>
  <si>
    <t>Aerodrome Reference Point — MICHAŁKÓW k/Ostrowa Wlkp.</t>
  </si>
  <si>
    <t>EPOM ARP</t>
  </si>
  <si>
    <t>Aerodrome Reference Point — POLSKA NOWA WIEŚ k/Opola</t>
  </si>
  <si>
    <t>EPOP ARP</t>
  </si>
  <si>
    <t>Aerodrome Reference Point — POZNAŃ - BEDNARY</t>
  </si>
  <si>
    <t>EPPB ARP</t>
  </si>
  <si>
    <t>Aerodrome Reference Point — POZNAŃ / Kobylnica</t>
  </si>
  <si>
    <t>EPPK ARP</t>
  </si>
  <si>
    <t>Aerodrome Reference Point — PŁOCK</t>
  </si>
  <si>
    <t>EPPL ARP</t>
  </si>
  <si>
    <t>Aerodrome Reference Point — POZNAŃ / Ławica</t>
  </si>
  <si>
    <t>EPPO ARP</t>
  </si>
  <si>
    <t>Aerodrome Reference Point — PIOTRKÓW TRYBUNALSKI</t>
  </si>
  <si>
    <t>EPPT ARP</t>
  </si>
  <si>
    <t>Aerodrome Reference Point — WARSZAWA - RADOM (Sadków)</t>
  </si>
  <si>
    <t>EPRA ARP</t>
  </si>
  <si>
    <t>Aerodrome Reference Point — GOTARTOWICE k/Rybnika</t>
  </si>
  <si>
    <t>EPRG ARP</t>
  </si>
  <si>
    <t>Aerodrome Reference Point — PIASTÓW k/Radomia</t>
  </si>
  <si>
    <t>EPRP ARP</t>
  </si>
  <si>
    <t>Aerodrome Reference Point — RUDNIKI k/Częstochowy</t>
  </si>
  <si>
    <t>EPRU ARP</t>
  </si>
  <si>
    <t>Aerodrome Reference Point — RZESZÓW - JASIONKA</t>
  </si>
  <si>
    <t>EPRZ ARP</t>
  </si>
  <si>
    <t>Aerodrome Reference Point — SZCZECIN / Goleniów</t>
  </si>
  <si>
    <t>EPSC ARP</t>
  </si>
  <si>
    <t>Aerodrome Reference Point — SZCZECIN DĄBIE</t>
  </si>
  <si>
    <t>EPSD ARP</t>
  </si>
  <si>
    <t>Aerodrome Reference Point — KRĘPA k/Słupska</t>
  </si>
  <si>
    <t>EPSK ARP</t>
  </si>
  <si>
    <t>Aerodrome Reference Point — TURBIA k/Stalowej Woli</t>
  </si>
  <si>
    <t>EPST ARP</t>
  </si>
  <si>
    <t>Aerodrome Reference Point — SUWAŁKI</t>
  </si>
  <si>
    <t>EPSU ARP</t>
  </si>
  <si>
    <t>Aerodrome Reference Point — OLSZTYN - MAZURY (Szymany)</t>
  </si>
  <si>
    <t>EPSY ARP</t>
  </si>
  <si>
    <t>Aerodrome Reference Point — TORUŃ</t>
  </si>
  <si>
    <t>EPTO ARP</t>
  </si>
  <si>
    <t>Aerodrome Reference Point — WARSZAWA / Chopin</t>
  </si>
  <si>
    <t>EPWA ARP</t>
  </si>
  <si>
    <t>Aerodrome Reference Point — KRUSZYN k/Włocławka</t>
  </si>
  <si>
    <t>EPWK ARP</t>
  </si>
  <si>
    <t>Aerodrome Reference Point — WROCŁAW / Strachowice</t>
  </si>
  <si>
    <t>EPWR ARP</t>
  </si>
  <si>
    <t>Aerodrome Reference Point — SZYMANÓW</t>
  </si>
  <si>
    <t>EPWS ARP</t>
  </si>
  <si>
    <t>Aerodrome Reference Point — ZAMOŚĆ</t>
  </si>
  <si>
    <t>EPZA ARP</t>
  </si>
  <si>
    <t>Aerodrome Reference Point — ZIELONA GÓRA / Babimost</t>
  </si>
  <si>
    <t>EPZG ARP</t>
  </si>
  <si>
    <t>Aerodrome Reference Point — PRZYLEP k/Zielonej Góry</t>
  </si>
  <si>
    <t>EPZP ARP</t>
  </si>
  <si>
    <t>Aerodrome Reference Point — ŻAR k/Żywca</t>
  </si>
  <si>
    <t>EPZR ARP</t>
  </si>
  <si>
    <t>Punkty VFR — współrzędne DMS (format AIP: ddmmssN / dddmmssE)</t>
  </si>
  <si>
    <t>Lotnisko</t>
  </si>
  <si>
    <t>Lat DMS</t>
  </si>
  <si>
    <t>Lon DMS</t>
  </si>
  <si>
    <t>Opis</t>
  </si>
  <si>
    <t>495054N</t>
  </si>
  <si>
    <t>0190149E</t>
  </si>
  <si>
    <t>494819N</t>
  </si>
  <si>
    <t>0185329E</t>
  </si>
  <si>
    <t>494709N</t>
  </si>
  <si>
    <t>0190404E</t>
  </si>
  <si>
    <t>520348N</t>
  </si>
  <si>
    <t>0204436E</t>
  </si>
  <si>
    <t>521103N</t>
  </si>
  <si>
    <t>0203650E</t>
  </si>
  <si>
    <t>522036N</t>
  </si>
  <si>
    <t>0211340E</t>
  </si>
  <si>
    <t>521054N</t>
  </si>
  <si>
    <t>0205910E</t>
  </si>
  <si>
    <t>521539N</t>
  </si>
  <si>
    <t>0204408E</t>
  </si>
  <si>
    <t>515927N</t>
  </si>
  <si>
    <t>0211405E</t>
  </si>
  <si>
    <t>522240N</t>
  </si>
  <si>
    <t>0205500E</t>
  </si>
  <si>
    <t>520529N</t>
  </si>
  <si>
    <t>0211415E</t>
  </si>
  <si>
    <t>522040N</t>
  </si>
  <si>
    <t>0205515E</t>
  </si>
  <si>
    <t>521322N</t>
  </si>
  <si>
    <t>0211500E</t>
  </si>
  <si>
    <t>521303N</t>
  </si>
  <si>
    <t>0210550E</t>
  </si>
  <si>
    <t>521817N</t>
  </si>
  <si>
    <t>0210502E</t>
  </si>
  <si>
    <t>515814N</t>
  </si>
  <si>
    <t>0205001E</t>
  </si>
  <si>
    <t>521725N</t>
  </si>
  <si>
    <t>0210039E</t>
  </si>
  <si>
    <t>530635N</t>
  </si>
  <si>
    <t>0231409E</t>
  </si>
  <si>
    <t>530455N</t>
  </si>
  <si>
    <t>0230606E</t>
  </si>
  <si>
    <t>530148N</t>
  </si>
  <si>
    <t>0230725E</t>
  </si>
  <si>
    <t>531107N</t>
  </si>
  <si>
    <t>0231544E</t>
  </si>
  <si>
    <t>530854N</t>
  </si>
  <si>
    <t>0230336E</t>
  </si>
  <si>
    <t>530308N</t>
  </si>
  <si>
    <t>0232008E</t>
  </si>
  <si>
    <t>525821N</t>
  </si>
  <si>
    <t>0174322E</t>
  </si>
  <si>
    <t>525706N</t>
  </si>
  <si>
    <t>0175513E</t>
  </si>
  <si>
    <t>531325N</t>
  </si>
  <si>
    <t>0180213E</t>
  </si>
  <si>
    <t>531034N</t>
  </si>
  <si>
    <t>0180323E</t>
  </si>
  <si>
    <t>530823N</t>
  </si>
  <si>
    <t>0173530E</t>
  </si>
  <si>
    <t>530925N</t>
  </si>
  <si>
    <t>0175319E</t>
  </si>
  <si>
    <t>530912N</t>
  </si>
  <si>
    <t>0180007E</t>
  </si>
  <si>
    <t>530309N</t>
  </si>
  <si>
    <t>0175946E</t>
  </si>
  <si>
    <t>531228N</t>
  </si>
  <si>
    <t>0182243E</t>
  </si>
  <si>
    <t>525834N</t>
  </si>
  <si>
    <t>0180558E</t>
  </si>
  <si>
    <t>511004N</t>
  </si>
  <si>
    <t>0232100E</t>
  </si>
  <si>
    <t>510528N</t>
  </si>
  <si>
    <t>0231716E</t>
  </si>
  <si>
    <t>510107N</t>
  </si>
  <si>
    <t>0232215E</t>
  </si>
  <si>
    <t>542228N</t>
  </si>
  <si>
    <t>0184644E</t>
  </si>
  <si>
    <t>542816N</t>
  </si>
  <si>
    <t>0181835E</t>
  </si>
  <si>
    <t>542641N</t>
  </si>
  <si>
    <t>0183240E</t>
  </si>
  <si>
    <t>542442N</t>
  </si>
  <si>
    <t>0182906E</t>
  </si>
  <si>
    <t>542042N</t>
  </si>
  <si>
    <t>0182606E</t>
  </si>
  <si>
    <t>541634N</t>
  </si>
  <si>
    <t>0182922E</t>
  </si>
  <si>
    <t>541930N</t>
  </si>
  <si>
    <t>0181101E</t>
  </si>
  <si>
    <t>532617N</t>
  </si>
  <si>
    <t>0185639E</t>
  </si>
  <si>
    <t>533639N</t>
  </si>
  <si>
    <t>0185648E</t>
  </si>
  <si>
    <t>532902N</t>
  </si>
  <si>
    <t>0184423E</t>
  </si>
  <si>
    <t>533320N</t>
  </si>
  <si>
    <t>0184557E</t>
  </si>
  <si>
    <t>533124N</t>
  </si>
  <si>
    <t>0185720E</t>
  </si>
  <si>
    <t>501553N</t>
  </si>
  <si>
    <t>0192605E</t>
  </si>
  <si>
    <t>502413N</t>
  </si>
  <si>
    <t>0190318E</t>
  </si>
  <si>
    <t>501905N</t>
  </si>
  <si>
    <t>0191414E</t>
  </si>
  <si>
    <t>501044N</t>
  </si>
  <si>
    <t>0185425E</t>
  </si>
  <si>
    <t>502341N</t>
  </si>
  <si>
    <t>0183745E</t>
  </si>
  <si>
    <t>500757N</t>
  </si>
  <si>
    <t>0190130E</t>
  </si>
  <si>
    <t>502114N</t>
  </si>
  <si>
    <t>0185159E</t>
  </si>
  <si>
    <t>525122N</t>
  </si>
  <si>
    <t>0181156E</t>
  </si>
  <si>
    <t>524038N</t>
  </si>
  <si>
    <t>0180027E</t>
  </si>
  <si>
    <t>525339N</t>
  </si>
  <si>
    <t>0181858E</t>
  </si>
  <si>
    <t>525002N</t>
  </si>
  <si>
    <t>0183913E</t>
  </si>
  <si>
    <t>523753N</t>
  </si>
  <si>
    <t>0183206E</t>
  </si>
  <si>
    <t>524355N</t>
  </si>
  <si>
    <t>0181611E</t>
  </si>
  <si>
    <t>524851N</t>
  </si>
  <si>
    <t>0182818E</t>
  </si>
  <si>
    <t>525412N</t>
  </si>
  <si>
    <t>0180828E</t>
  </si>
  <si>
    <t>505740N</t>
  </si>
  <si>
    <t>0154747E</t>
  </si>
  <si>
    <t>505229N</t>
  </si>
  <si>
    <t>0155512E</t>
  </si>
  <si>
    <t>505749N</t>
  </si>
  <si>
    <t>0153842E</t>
  </si>
  <si>
    <t>504946N</t>
  </si>
  <si>
    <t>0154226E</t>
  </si>
  <si>
    <t>505618N</t>
  </si>
  <si>
    <t>0155433E</t>
  </si>
  <si>
    <t>505302N</t>
  </si>
  <si>
    <t>0154840E</t>
  </si>
  <si>
    <t>504807N</t>
  </si>
  <si>
    <t>0204822E</t>
  </si>
  <si>
    <t>505431N</t>
  </si>
  <si>
    <t>0203447E</t>
  </si>
  <si>
    <t>505029N</t>
  </si>
  <si>
    <t>0203831E</t>
  </si>
  <si>
    <t>505044N</t>
  </si>
  <si>
    <t>0205126E</t>
  </si>
  <si>
    <t>505829N</t>
  </si>
  <si>
    <t>0203939E</t>
  </si>
  <si>
    <t>540043N</t>
  </si>
  <si>
    <t>0213501E</t>
  </si>
  <si>
    <t>535712N</t>
  </si>
  <si>
    <t>0212217E</t>
  </si>
  <si>
    <t>540132N</t>
  </si>
  <si>
    <t>0211302E</t>
  </si>
  <si>
    <t>495125N</t>
  </si>
  <si>
    <t>0200830E</t>
  </si>
  <si>
    <t>500231N</t>
  </si>
  <si>
    <t>0200552E</t>
  </si>
  <si>
    <t>500900N</t>
  </si>
  <si>
    <t>0193800E</t>
  </si>
  <si>
    <t>500300N</t>
  </si>
  <si>
    <t>0194800E</t>
  </si>
  <si>
    <t>500811N</t>
  </si>
  <si>
    <t>0200652E</t>
  </si>
  <si>
    <t>502100N</t>
  </si>
  <si>
    <t>0200200E</t>
  </si>
  <si>
    <t>501200N</t>
  </si>
  <si>
    <t>0195300E</t>
  </si>
  <si>
    <t>495439N</t>
  </si>
  <si>
    <t>0192446E</t>
  </si>
  <si>
    <t>495900N</t>
  </si>
  <si>
    <t>0194900E</t>
  </si>
  <si>
    <t>494731N</t>
  </si>
  <si>
    <t>0194641E</t>
  </si>
  <si>
    <t>500633N</t>
  </si>
  <si>
    <t>0194646E</t>
  </si>
  <si>
    <t>500713N</t>
  </si>
  <si>
    <t>0202244E</t>
  </si>
  <si>
    <t>500117N</t>
  </si>
  <si>
    <t>0200907E</t>
  </si>
  <si>
    <t>500643N</t>
  </si>
  <si>
    <t>0201408E</t>
  </si>
  <si>
    <t>500311N</t>
  </si>
  <si>
    <t>0201946E</t>
  </si>
  <si>
    <t>494545N</t>
  </si>
  <si>
    <t>0214105E</t>
  </si>
  <si>
    <t>494013N</t>
  </si>
  <si>
    <t>0215321E</t>
  </si>
  <si>
    <t>493618N</t>
  </si>
  <si>
    <t>0214825E</t>
  </si>
  <si>
    <t>493956N</t>
  </si>
  <si>
    <t>0213639E</t>
  </si>
  <si>
    <t>503725N</t>
  </si>
  <si>
    <t>0185010E</t>
  </si>
  <si>
    <t>504018N</t>
  </si>
  <si>
    <t>0191218E</t>
  </si>
  <si>
    <t>502950N</t>
  </si>
  <si>
    <t>0190445E</t>
  </si>
  <si>
    <t>503500N</t>
  </si>
  <si>
    <t>0190330E</t>
  </si>
  <si>
    <t>502714N</t>
  </si>
  <si>
    <t>0190453E</t>
  </si>
  <si>
    <t>495759N</t>
  </si>
  <si>
    <t>0185729E</t>
  </si>
  <si>
    <t>495224N</t>
  </si>
  <si>
    <t>0190146E</t>
  </si>
  <si>
    <t>495453N</t>
  </si>
  <si>
    <t>0190908E</t>
  </si>
  <si>
    <t>511725N</t>
  </si>
  <si>
    <t>0224211E</t>
  </si>
  <si>
    <t>510938N</t>
  </si>
  <si>
    <t>0225643E</t>
  </si>
  <si>
    <t>511202N</t>
  </si>
  <si>
    <t>0224032E</t>
  </si>
  <si>
    <t>512244N</t>
  </si>
  <si>
    <t>0225753E</t>
  </si>
  <si>
    <t>510519N</t>
  </si>
  <si>
    <t>0224124E</t>
  </si>
  <si>
    <t>511808N</t>
  </si>
  <si>
    <t>0223513E</t>
  </si>
  <si>
    <t>511312N</t>
  </si>
  <si>
    <t>0224534E</t>
  </si>
  <si>
    <t>511633N</t>
  </si>
  <si>
    <t>0223909E</t>
  </si>
  <si>
    <t>510617N</t>
  </si>
  <si>
    <t>0222932E</t>
  </si>
  <si>
    <t>512004N</t>
  </si>
  <si>
    <t>0224638E</t>
  </si>
  <si>
    <t>514355N</t>
  </si>
  <si>
    <t>0185713E</t>
  </si>
  <si>
    <t>514800N</t>
  </si>
  <si>
    <t>0193810E</t>
  </si>
  <si>
    <t>514126N</t>
  </si>
  <si>
    <t>0190802E</t>
  </si>
  <si>
    <t>513816N</t>
  </si>
  <si>
    <t>0191617E</t>
  </si>
  <si>
    <t>514343N</t>
  </si>
  <si>
    <t>0194838E</t>
  </si>
  <si>
    <t>514834N</t>
  </si>
  <si>
    <t>0191710E</t>
  </si>
  <si>
    <t>513820N</t>
  </si>
  <si>
    <t>0192955E</t>
  </si>
  <si>
    <t>514125N</t>
  </si>
  <si>
    <t>0192636E</t>
  </si>
  <si>
    <t>514440N</t>
  </si>
  <si>
    <t>0190712E</t>
  </si>
  <si>
    <t>515330N</t>
  </si>
  <si>
    <t>0193806E</t>
  </si>
  <si>
    <t>514455N</t>
  </si>
  <si>
    <t>0192100E</t>
  </si>
  <si>
    <t>514827N</t>
  </si>
  <si>
    <t>0163859E</t>
  </si>
  <si>
    <t>515505N</t>
  </si>
  <si>
    <t>0163413E</t>
  </si>
  <si>
    <t>514448N</t>
  </si>
  <si>
    <t>0163128E</t>
  </si>
  <si>
    <t>515124N</t>
  </si>
  <si>
    <t>0162347E</t>
  </si>
  <si>
    <t>501634N</t>
  </si>
  <si>
    <t>0213620E</t>
  </si>
  <si>
    <t>501036N</t>
  </si>
  <si>
    <t>0205945E</t>
  </si>
  <si>
    <t>502258N</t>
  </si>
  <si>
    <t>0212732E</t>
  </si>
  <si>
    <t>502605N</t>
  </si>
  <si>
    <t>0210336E</t>
  </si>
  <si>
    <t>502539N</t>
  </si>
  <si>
    <t>0211950E</t>
  </si>
  <si>
    <t>501145N</t>
  </si>
  <si>
    <t>0211637E</t>
  </si>
  <si>
    <t>501548N</t>
  </si>
  <si>
    <t>0212733E</t>
  </si>
  <si>
    <t>523257N</t>
  </si>
  <si>
    <t>0203004E</t>
  </si>
  <si>
    <t>522828N</t>
  </si>
  <si>
    <t>0203855E</t>
  </si>
  <si>
    <t>0201113E</t>
  </si>
  <si>
    <t>523621N</t>
  </si>
  <si>
    <t>0202358E</t>
  </si>
  <si>
    <t>522545N</t>
  </si>
  <si>
    <t>0203915E</t>
  </si>
  <si>
    <t>522341N</t>
  </si>
  <si>
    <t>0203226E</t>
  </si>
  <si>
    <t>523448N</t>
  </si>
  <si>
    <t>0204625E</t>
  </si>
  <si>
    <t>505340N</t>
  </si>
  <si>
    <t>0164622E</t>
  </si>
  <si>
    <t>505547N</t>
  </si>
  <si>
    <t>0165411E</t>
  </si>
  <si>
    <t>505840N</t>
  </si>
  <si>
    <t>0164727E</t>
  </si>
  <si>
    <t>505718N</t>
  </si>
  <si>
    <t>0163701E</t>
  </si>
  <si>
    <t>523835N</t>
  </si>
  <si>
    <t>0205630E</t>
  </si>
  <si>
    <t>523159N</t>
  </si>
  <si>
    <t>0210453E</t>
  </si>
  <si>
    <t>522919N</t>
  </si>
  <si>
    <t>0205525E</t>
  </si>
  <si>
    <t>492802N</t>
  </si>
  <si>
    <t>0201323E</t>
  </si>
  <si>
    <t>492241N</t>
  </si>
  <si>
    <t>0200038E</t>
  </si>
  <si>
    <t>492827N</t>
  </si>
  <si>
    <t>0195727E</t>
  </si>
  <si>
    <t>493100N</t>
  </si>
  <si>
    <t>0195912E</t>
  </si>
  <si>
    <t>535006N</t>
  </si>
  <si>
    <t>0202830E</t>
  </si>
  <si>
    <t>534145N</t>
  </si>
  <si>
    <t>0202446E</t>
  </si>
  <si>
    <t>534450N</t>
  </si>
  <si>
    <t>0201621E</t>
  </si>
  <si>
    <t>514213N</t>
  </si>
  <si>
    <t>0175651E</t>
  </si>
  <si>
    <t>514646N</t>
  </si>
  <si>
    <t>0175125E</t>
  </si>
  <si>
    <t>514023N</t>
  </si>
  <si>
    <t>0174733E</t>
  </si>
  <si>
    <t>504011N</t>
  </si>
  <si>
    <t>0174905E</t>
  </si>
  <si>
    <t>503455N</t>
  </si>
  <si>
    <t>0174947E</t>
  </si>
  <si>
    <t>503946N</t>
  </si>
  <si>
    <t>0174155E</t>
  </si>
  <si>
    <t>504204N</t>
  </si>
  <si>
    <t>0175352E</t>
  </si>
  <si>
    <t>503147N</t>
  </si>
  <si>
    <t>0175502E</t>
  </si>
  <si>
    <t>504131N</t>
  </si>
  <si>
    <t>0173823E</t>
  </si>
  <si>
    <t>523434N</t>
  </si>
  <si>
    <t>0170034E</t>
  </si>
  <si>
    <t>523117N</t>
  </si>
  <si>
    <t>0170810E</t>
  </si>
  <si>
    <t>523757N</t>
  </si>
  <si>
    <t>0172543E</t>
  </si>
  <si>
    <t>524026N</t>
  </si>
  <si>
    <t>0170910E</t>
  </si>
  <si>
    <t>522845N</t>
  </si>
  <si>
    <t>0171638E</t>
  </si>
  <si>
    <t>522336N</t>
  </si>
  <si>
    <t>0171328E</t>
  </si>
  <si>
    <t>522711N</t>
  </si>
  <si>
    <t>0165848E</t>
  </si>
  <si>
    <t>523021N</t>
  </si>
  <si>
    <t>0195012E</t>
  </si>
  <si>
    <t>523623N</t>
  </si>
  <si>
    <t>0194746E</t>
  </si>
  <si>
    <t>523415N</t>
  </si>
  <si>
    <t>0193642E</t>
  </si>
  <si>
    <t>523012N</t>
  </si>
  <si>
    <t>0164605E</t>
  </si>
  <si>
    <t>522351N</t>
  </si>
  <si>
    <t>0165129E</t>
  </si>
  <si>
    <t>522556N</t>
  </si>
  <si>
    <t>0165048E</t>
  </si>
  <si>
    <t>522630N</t>
  </si>
  <si>
    <t>0164750E</t>
  </si>
  <si>
    <t>522441N</t>
  </si>
  <si>
    <t>0164737E</t>
  </si>
  <si>
    <t>522428N</t>
  </si>
  <si>
    <t>0164333E</t>
  </si>
  <si>
    <t>523041N</t>
  </si>
  <si>
    <t>0165829E</t>
  </si>
  <si>
    <t>522203N</t>
  </si>
  <si>
    <t>0165137E</t>
  </si>
  <si>
    <t>522820N</t>
  </si>
  <si>
    <t>0164726E</t>
  </si>
  <si>
    <t>522345N</t>
  </si>
  <si>
    <t>0163627E</t>
  </si>
  <si>
    <t>522753N</t>
  </si>
  <si>
    <t>0165319E</t>
  </si>
  <si>
    <t>512117N</t>
  </si>
  <si>
    <t>0194910E</t>
  </si>
  <si>
    <t>511257N</t>
  </si>
  <si>
    <t>0193549E</t>
  </si>
  <si>
    <t>512637N</t>
  </si>
  <si>
    <t>0194324E</t>
  </si>
  <si>
    <t>511126N</t>
  </si>
  <si>
    <t>0195124E</t>
  </si>
  <si>
    <t>511758N</t>
  </si>
  <si>
    <t>0193931E</t>
  </si>
  <si>
    <t>512436N</t>
  </si>
  <si>
    <t>0193805E</t>
  </si>
  <si>
    <t>511450N</t>
  </si>
  <si>
    <t>0211420E</t>
  </si>
  <si>
    <t>511437N</t>
  </si>
  <si>
    <t>0213503E</t>
  </si>
  <si>
    <t>513215N</t>
  </si>
  <si>
    <t>0212356E</t>
  </si>
  <si>
    <t>512034N</t>
  </si>
  <si>
    <t>0211336E</t>
  </si>
  <si>
    <t>511410N</t>
  </si>
  <si>
    <t>0205226E</t>
  </si>
  <si>
    <t>512146N</t>
  </si>
  <si>
    <t>0204639E</t>
  </si>
  <si>
    <t>512635N</t>
  </si>
  <si>
    <t>0211200E</t>
  </si>
  <si>
    <t>512412N</t>
  </si>
  <si>
    <t>0210520E</t>
  </si>
  <si>
    <t>511742N</t>
  </si>
  <si>
    <t>0211447E</t>
  </si>
  <si>
    <t>512131N</t>
  </si>
  <si>
    <t>0213356E</t>
  </si>
  <si>
    <t>500516N</t>
  </si>
  <si>
    <t>0183513E</t>
  </si>
  <si>
    <t>500455N</t>
  </si>
  <si>
    <t>0183948E</t>
  </si>
  <si>
    <t>500310N</t>
  </si>
  <si>
    <t>0183843E</t>
  </si>
  <si>
    <t>513409N</t>
  </si>
  <si>
    <t>0210119E</t>
  </si>
  <si>
    <t>512626N</t>
  </si>
  <si>
    <t>0205944E</t>
  </si>
  <si>
    <t>512800N</t>
  </si>
  <si>
    <t>0205420E</t>
  </si>
  <si>
    <t>513049N</t>
  </si>
  <si>
    <t>0210657E</t>
  </si>
  <si>
    <t>505518N</t>
  </si>
  <si>
    <t>0192124E</t>
  </si>
  <si>
    <t>505800N</t>
  </si>
  <si>
    <t>0191638E</t>
  </si>
  <si>
    <t>504943N</t>
  </si>
  <si>
    <t>0191723E</t>
  </si>
  <si>
    <t>505409N</t>
  </si>
  <si>
    <t>0190403E</t>
  </si>
  <si>
    <t>495902N</t>
  </si>
  <si>
    <t>0215640E</t>
  </si>
  <si>
    <t>0222405E</t>
  </si>
  <si>
    <t>500110N</t>
  </si>
  <si>
    <t>0221534E</t>
  </si>
  <si>
    <t>501446N</t>
  </si>
  <si>
    <t>0214712E</t>
  </si>
  <si>
    <t>501457N</t>
  </si>
  <si>
    <t>0220719E</t>
  </si>
  <si>
    <t>501000N</t>
  </si>
  <si>
    <t>0220200E</t>
  </si>
  <si>
    <t>500221N</t>
  </si>
  <si>
    <t>0220409E</t>
  </si>
  <si>
    <t>495822N</t>
  </si>
  <si>
    <t>0220202E</t>
  </si>
  <si>
    <t>500352N</t>
  </si>
  <si>
    <t>0214352E</t>
  </si>
  <si>
    <t>500357N</t>
  </si>
  <si>
    <t>0215538E</t>
  </si>
  <si>
    <t>533226N</t>
  </si>
  <si>
    <t>0144714E</t>
  </si>
  <si>
    <t>533606N</t>
  </si>
  <si>
    <t>0145751E</t>
  </si>
  <si>
    <t>533904N</t>
  </si>
  <si>
    <t>0150401E</t>
  </si>
  <si>
    <t>533404N</t>
  </si>
  <si>
    <t>0145049E</t>
  </si>
  <si>
    <t>532401N</t>
  </si>
  <si>
    <t>0143437E</t>
  </si>
  <si>
    <t>532421N</t>
  </si>
  <si>
    <t>0143955E</t>
  </si>
  <si>
    <t>532325N</t>
  </si>
  <si>
    <t>0144143E</t>
  </si>
  <si>
    <t>532228N</t>
  </si>
  <si>
    <t>0143549E</t>
  </si>
  <si>
    <t>532221N</t>
  </si>
  <si>
    <t>0145149E</t>
  </si>
  <si>
    <t>542229N</t>
  </si>
  <si>
    <t>0170904E</t>
  </si>
  <si>
    <t>542207N</t>
  </si>
  <si>
    <t>0170123E</t>
  </si>
  <si>
    <t>542530N</t>
  </si>
  <si>
    <t>0170026E</t>
  </si>
  <si>
    <t>542725N</t>
  </si>
  <si>
    <t>0171237E</t>
  </si>
  <si>
    <t>503403N</t>
  </si>
  <si>
    <t>0215239E</t>
  </si>
  <si>
    <t>504154N</t>
  </si>
  <si>
    <t>0220459E</t>
  </si>
  <si>
    <t>503956N</t>
  </si>
  <si>
    <t>0215202E</t>
  </si>
  <si>
    <t>503446N</t>
  </si>
  <si>
    <t>0220709E</t>
  </si>
  <si>
    <t>541012N</t>
  </si>
  <si>
    <t>0225552E</t>
  </si>
  <si>
    <t>535609N</t>
  </si>
  <si>
    <t>0225843E</t>
  </si>
  <si>
    <t>540536N</t>
  </si>
  <si>
    <t>0223902E</t>
  </si>
  <si>
    <t>533240N</t>
  </si>
  <si>
    <t>0204913E</t>
  </si>
  <si>
    <t>531516N</t>
  </si>
  <si>
    <t>0205352E</t>
  </si>
  <si>
    <t>534210N</t>
  </si>
  <si>
    <t>0205739E</t>
  </si>
  <si>
    <t>532826N</t>
  </si>
  <si>
    <t>0205803E</t>
  </si>
  <si>
    <t>532659N</t>
  </si>
  <si>
    <t>0203550E</t>
  </si>
  <si>
    <t>532135N</t>
  </si>
  <si>
    <t>0202545E</t>
  </si>
  <si>
    <t>533007N</t>
  </si>
  <si>
    <t>0205355E</t>
  </si>
  <si>
    <t>532513N</t>
  </si>
  <si>
    <t>0210705E</t>
  </si>
  <si>
    <t>530511N</t>
  </si>
  <si>
    <t>0183711E</t>
  </si>
  <si>
    <t>530019N</t>
  </si>
  <si>
    <t>0183607E</t>
  </si>
  <si>
    <t>525942N</t>
  </si>
  <si>
    <t>0184402E</t>
  </si>
  <si>
    <t>525932N</t>
  </si>
  <si>
    <t>0182643E</t>
  </si>
  <si>
    <t>521533N</t>
  </si>
  <si>
    <t>0203926E</t>
  </si>
  <si>
    <t>521151N</t>
  </si>
  <si>
    <t>0210306E</t>
  </si>
  <si>
    <t>520806N</t>
  </si>
  <si>
    <t>0205322E</t>
  </si>
  <si>
    <t>520925N</t>
  </si>
  <si>
    <t>0205659E</t>
  </si>
  <si>
    <t>520631N</t>
  </si>
  <si>
    <t>0204951E</t>
  </si>
  <si>
    <t>523200N</t>
  </si>
  <si>
    <t>0190814E</t>
  </si>
  <si>
    <t>523925N</t>
  </si>
  <si>
    <t>522829N</t>
  </si>
  <si>
    <t>0185305E</t>
  </si>
  <si>
    <t>523614N</t>
  </si>
  <si>
    <t>0185313E</t>
  </si>
  <si>
    <t>505922N</t>
  </si>
  <si>
    <t>0165003E</t>
  </si>
  <si>
    <t>510254N</t>
  </si>
  <si>
    <t>0163648E</t>
  </si>
  <si>
    <t>510733N</t>
  </si>
  <si>
    <t>510920N</t>
  </si>
  <si>
    <t>0165732E</t>
  </si>
  <si>
    <t>510430N</t>
  </si>
  <si>
    <t>0165302E</t>
  </si>
  <si>
    <t>511500N</t>
  </si>
  <si>
    <t>0165030E</t>
  </si>
  <si>
    <t>511048N</t>
  </si>
  <si>
    <t>0171133E</t>
  </si>
  <si>
    <t>511754N</t>
  </si>
  <si>
    <t>0165434E</t>
  </si>
  <si>
    <t>511806N</t>
  </si>
  <si>
    <t>0170346E</t>
  </si>
  <si>
    <t>503538N</t>
  </si>
  <si>
    <t>0231028E</t>
  </si>
  <si>
    <t>504305N</t>
  </si>
  <si>
    <t>0230158E</t>
  </si>
  <si>
    <t>503948N</t>
  </si>
  <si>
    <t>0231144E</t>
  </si>
  <si>
    <t>504503N</t>
  </si>
  <si>
    <t>0231427E</t>
  </si>
  <si>
    <t>504319N</t>
  </si>
  <si>
    <t>0230801E</t>
  </si>
  <si>
    <t>520154N</t>
  </si>
  <si>
    <t>0153737E</t>
  </si>
  <si>
    <t>520929N</t>
  </si>
  <si>
    <t>0153112E</t>
  </si>
  <si>
    <t>521815N</t>
  </si>
  <si>
    <t>0160753E</t>
  </si>
  <si>
    <t>520400N</t>
  </si>
  <si>
    <t>0155136E</t>
  </si>
  <si>
    <t>520953N</t>
  </si>
  <si>
    <t>0154843E</t>
  </si>
  <si>
    <t>520718N</t>
  </si>
  <si>
    <t>0154837E</t>
  </si>
  <si>
    <t>520551N</t>
  </si>
  <si>
    <t>0160543E</t>
  </si>
  <si>
    <t>521351N</t>
  </si>
  <si>
    <t>0154820E</t>
  </si>
  <si>
    <t>515530N</t>
  </si>
  <si>
    <t>0153340E</t>
  </si>
  <si>
    <t>515643N</t>
  </si>
  <si>
    <t>0151907E</t>
  </si>
  <si>
    <t>520003N</t>
  </si>
  <si>
    <t>0152737E</t>
  </si>
  <si>
    <t>520258N</t>
  </si>
  <si>
    <t>0152140E</t>
  </si>
  <si>
    <t>515734N</t>
  </si>
  <si>
    <t>0152755E</t>
  </si>
  <si>
    <t>515926N</t>
  </si>
  <si>
    <t>0153346E</t>
  </si>
  <si>
    <t>494244N</t>
  </si>
  <si>
    <t>0191831E</t>
  </si>
  <si>
    <t>494312N</t>
  </si>
  <si>
    <t>0191239E</t>
  </si>
  <si>
    <t>495056N</t>
  </si>
  <si>
    <t>0191301E</t>
  </si>
  <si>
    <t>494714N</t>
  </si>
  <si>
    <t>0191139E</t>
  </si>
  <si>
    <t>494910N</t>
  </si>
  <si>
    <t>0191257E</t>
  </si>
  <si>
    <t>494542N</t>
  </si>
  <si>
    <t>0190527E</t>
  </si>
  <si>
    <t>Przegląd lotnisk z punktami VFR</t>
  </si>
  <si>
    <t>Typ</t>
  </si>
  <si>
    <t>Lat ARP</t>
  </si>
  <si>
    <t>Lon ARP</t>
  </si>
  <si>
    <t>Punktów VFR</t>
  </si>
  <si>
    <t>RAZEM</t>
  </si>
  <si>
    <t>55 lotnisk</t>
  </si>
  <si>
    <t>Lotniska AD4 w AIP VFR — bez opublikowanych punktów nawigacyjnych</t>
  </si>
  <si>
    <t>Nazwa</t>
  </si>
  <si>
    <t>Uwagi</t>
  </si>
  <si>
    <t>EPBO</t>
  </si>
  <si>
    <t>BORSK</t>
  </si>
  <si>
    <t>Brak punktów w AIP VFR (wg pilothub.pl)</t>
  </si>
  <si>
    <t>EPEL</t>
  </si>
  <si>
    <t>ELBLĄG</t>
  </si>
  <si>
    <t>EPGY</t>
  </si>
  <si>
    <t>GRĄDY</t>
  </si>
  <si>
    <t>EPKG</t>
  </si>
  <si>
    <t>BAGICZ k/Kołobrzegu</t>
  </si>
  <si>
    <t>EPKI</t>
  </si>
  <si>
    <t>KIKITY</t>
  </si>
  <si>
    <t>EPLR</t>
  </si>
  <si>
    <t>RADAWIEC k/Lublina</t>
  </si>
  <si>
    <t>EPLU</t>
  </si>
  <si>
    <t>LUBIN</t>
  </si>
  <si>
    <t>EPMX</t>
  </si>
  <si>
    <t>MILEWO</t>
  </si>
  <si>
    <t>EPMY</t>
  </si>
  <si>
    <t>MYŚLIBÓRZ-GIŻYN</t>
  </si>
  <si>
    <t>EPNL</t>
  </si>
  <si>
    <t>ŁOSOSINA DOLNA k/Nowego Sącza</t>
  </si>
  <si>
    <t>EPPZ</t>
  </si>
  <si>
    <t>PRZASNYSZ</t>
  </si>
  <si>
    <t>EPRJ</t>
  </si>
  <si>
    <t>RZESZÓW (Jasionka od EPRZ odmienny)</t>
  </si>
  <si>
    <t>EPSL</t>
  </si>
  <si>
    <t>ŚWIDNIK k/LUBLINA</t>
  </si>
  <si>
    <t>Punkty meldowania VFR na granicy FIR Warszawa (EPWW) — AIP VFR ENR 2.1.1</t>
  </si>
  <si>
    <t>⚠ DANE ORIENTACYJNE — TYLKO DO CELÓW SZKOLENIOWYCH I PLANISTYCZNYCH. Przed lotem transgranicznym zweryfikuj aktualne punkty w AIP VFR ENR 2.1.1 (wymaga rejestracji PANSA: ais.pansa.pl) lub na Lotniczej Mapie Polski ICAO 1:500 000.</t>
  </si>
  <si>
    <t>Źródło: AIP VFR ENR 2.1.1 / Lotnicza Mapa Polski ICAO (ed. 20, dane na 17 APR 2025) + opisy sektorów AIRCOM z AIP VFR ENR 2.6 via dlapilota.pl. FPL crossing point może być REP, radiolatarnia lub współrzędne geograficzne (VFR ENR 1.5 pkt 4.5). Kraje Schengen (DE, CZ, SK, LT) — brak obowiązku FPL w przestrzeni niekontrolowanej G (wg AIP VFR ENR 1.5 Uwaga 1), ale kraje te mogą wymagać własnych FPL (sprawdź!). Granice PL-BY, PL-UA, PL-RU — FPL obowiązkowy, złożyć 1h przed EOBT.</t>
  </si>
  <si>
    <t>#</t>
  </si>
  <si>
    <t>Punkt / Nazwa</t>
  </si>
  <si>
    <t>Granica</t>
  </si>
  <si>
    <t>Sąsiedni FIR</t>
  </si>
  <si>
    <t>Opis / Lokalizacja</t>
  </si>
  <si>
    <t>GRANICA ZACHODNIA — Niemcy / FIR EDWW (Berlin)</t>
  </si>
  <si>
    <t>W01</t>
  </si>
  <si>
    <t>PIEŃSK</t>
  </si>
  <si>
    <t>PL-DE</t>
  </si>
  <si>
    <t>EDWW (Berlin)</t>
  </si>
  <si>
    <t>511542N</t>
  </si>
  <si>
    <t>0144924E</t>
  </si>
  <si>
    <t>Przejście graniczne Pieńsk/Görlitz. Zachodnia granica FIR WARSZAWA.</t>
  </si>
  <si>
    <t>W02</t>
  </si>
  <si>
    <t>ŁĘKNICA</t>
  </si>
  <si>
    <t>513224N</t>
  </si>
  <si>
    <t>0144406E</t>
  </si>
  <si>
    <t>Rejon m. Łęknica / Bad Muskau</t>
  </si>
  <si>
    <t>W03</t>
  </si>
  <si>
    <t>ŚWIECKO</t>
  </si>
  <si>
    <t>522009N</t>
  </si>
  <si>
    <t>0143606E</t>
  </si>
  <si>
    <t>Przejście graniczne Frankfurt/Słubice (A2/E30)</t>
  </si>
  <si>
    <t>W04</t>
  </si>
  <si>
    <t>KOŁBASKOWO</t>
  </si>
  <si>
    <t>533142N</t>
  </si>
  <si>
    <t>0142006E</t>
  </si>
  <si>
    <t>Rejon Kołbaskowo k/Szczecina, granica PL-DE</t>
  </si>
  <si>
    <t>W05</t>
  </si>
  <si>
    <t>LUBIESZYN</t>
  </si>
  <si>
    <t>533912N</t>
  </si>
  <si>
    <t>0141848E</t>
  </si>
  <si>
    <t>Rejon Lubieszyn / Löcknitz</t>
  </si>
  <si>
    <t>GRANICA POŁUDNIOWA — Czechy / FIR LKAA (Praha)</t>
  </si>
  <si>
    <t>S01</t>
  </si>
  <si>
    <t>GŁUCHOŁAZY</t>
  </si>
  <si>
    <t>PL-CZ</t>
  </si>
  <si>
    <t>LKAA (Praha)</t>
  </si>
  <si>
    <t>501915N</t>
  </si>
  <si>
    <t>0172300E</t>
  </si>
  <si>
    <t>Rejon Głuchołazy – przejście Mikulovice/Jarnołtówek</t>
  </si>
  <si>
    <t>S02</t>
  </si>
  <si>
    <t>KUDOWA</t>
  </si>
  <si>
    <t>502609N</t>
  </si>
  <si>
    <t>0161418E</t>
  </si>
  <si>
    <t>Rejon Kudowy-Zdroju, przejście PL-CZ</t>
  </si>
  <si>
    <t>S03</t>
  </si>
  <si>
    <t>BOBOSZÓW</t>
  </si>
  <si>
    <t>501712N</t>
  </si>
  <si>
    <t>0164954E</t>
  </si>
  <si>
    <t>Rejon Boboszów (Góry Złote / Jeseník area)</t>
  </si>
  <si>
    <t>S04</t>
  </si>
  <si>
    <t>CIESZYN</t>
  </si>
  <si>
    <t>494454N</t>
  </si>
  <si>
    <t>0183754E</t>
  </si>
  <si>
    <t>Przejście graniczne Cieszyn (PL) / Český Těšín (CZ)</t>
  </si>
  <si>
    <t>S05</t>
  </si>
  <si>
    <t>JASTRZĘBIE</t>
  </si>
  <si>
    <t>495500N</t>
  </si>
  <si>
    <t>0183300E</t>
  </si>
  <si>
    <t>Zachodni narożnik południowej granicy FIR WARSZAWA, na S od Jastrzębia-Zdroju (49°55'N 018°33'E wg AIP VFR ENR sektor AIRCOM)</t>
  </si>
  <si>
    <t>GRANICA POŁUDNIOWA — Słowacja / FIR LZBB (Bratislava)</t>
  </si>
  <si>
    <t>S06</t>
  </si>
  <si>
    <t>CHYŻNE</t>
  </si>
  <si>
    <t>PL-SK</t>
  </si>
  <si>
    <t>LZBB (Bratislava)</t>
  </si>
  <si>
    <t>492809N</t>
  </si>
  <si>
    <t>0194636E</t>
  </si>
  <si>
    <t>Przejście graniczne Chyżne (DK7/E77), na S od Nowego Targu</t>
  </si>
  <si>
    <t>S07</t>
  </si>
  <si>
    <t>ŁYSA POLANA</t>
  </si>
  <si>
    <t>491324N</t>
  </si>
  <si>
    <t>0200418E</t>
  </si>
  <si>
    <t>Przejście graniczne Łysa Polana (Tatry), rejon EPNT</t>
  </si>
  <si>
    <t>S08</t>
  </si>
  <si>
    <t>KONIECZNA</t>
  </si>
  <si>
    <t>492148N</t>
  </si>
  <si>
    <t>0211342E</t>
  </si>
  <si>
    <t>Przejście graniczne Konieczna/Becherov (Beskid Niski)</t>
  </si>
  <si>
    <t>S09</t>
  </si>
  <si>
    <t>BARWINEK</t>
  </si>
  <si>
    <t>492136N</t>
  </si>
  <si>
    <t>0213930E</t>
  </si>
  <si>
    <t>Przejście graniczne Barwinek/Vyšný Komárnik (A4/E40)</t>
  </si>
  <si>
    <t>GRANICA WSCHODNIA — Ukraina / FIR UKLL (Lwów) / UKWW (Kijów)</t>
  </si>
  <si>
    <t>E01</t>
  </si>
  <si>
    <t>MEDYKA</t>
  </si>
  <si>
    <t>PL-UA</t>
  </si>
  <si>
    <t>UKLL (Lviv)</t>
  </si>
  <si>
    <t>494715N</t>
  </si>
  <si>
    <t>0225030E</t>
  </si>
  <si>
    <t>Przejście graniczne Medyka/Shehyni (A4/E40). Drogowe przejście graniczne z Ukrainą w Medyce (wg AIP VFR sektor AIRCOM F/H)</t>
  </si>
  <si>
    <t>E02</t>
  </si>
  <si>
    <t>HREBENNE</t>
  </si>
  <si>
    <t>501736N</t>
  </si>
  <si>
    <t>0235012E</t>
  </si>
  <si>
    <t>Przejście graniczne Hrebenne/Rawa Ruska</t>
  </si>
  <si>
    <t>E03</t>
  </si>
  <si>
    <t>ZOSIN</t>
  </si>
  <si>
    <t>UKWW (Kyiv)</t>
  </si>
  <si>
    <t>504412N</t>
  </si>
  <si>
    <t>0240948E</t>
  </si>
  <si>
    <t>Przejście graniczne Zosin/Ustyług (Hrubieszów area)</t>
  </si>
  <si>
    <t>E04</t>
  </si>
  <si>
    <t>DOROHUSK</t>
  </si>
  <si>
    <t>511118N</t>
  </si>
  <si>
    <t>0235342E</t>
  </si>
  <si>
    <t>Przejście graniczne Dorohusk/Jagodzin, Chełm area</t>
  </si>
  <si>
    <t>GRANICA WSCHODNIA — Białoruś / FIR UMMV (Mińsk)</t>
  </si>
  <si>
    <t>E05</t>
  </si>
  <si>
    <t>TERESPOL</t>
  </si>
  <si>
    <t>PL-BY</t>
  </si>
  <si>
    <t>UMMV (Minsk)</t>
  </si>
  <si>
    <t>520442N</t>
  </si>
  <si>
    <t>0233806E</t>
  </si>
  <si>
    <t>Przejście graniczne Terespol/Brest. Wschodnia granica FIR WARSZAWA (na wschód od Terespola, wg AIP VFR sektor AIRCOM F)</t>
  </si>
  <si>
    <t>E06</t>
  </si>
  <si>
    <t>BOBROWNIKI</t>
  </si>
  <si>
    <t>531554N</t>
  </si>
  <si>
    <t>0233842E</t>
  </si>
  <si>
    <t>Przejście graniczne Bobrowniki/Bierestovica k/Białegostoku</t>
  </si>
  <si>
    <t>E07</t>
  </si>
  <si>
    <t>KUŹNICA</t>
  </si>
  <si>
    <t>533554N</t>
  </si>
  <si>
    <t>0233742E</t>
  </si>
  <si>
    <t>Przejście graniczne Kuźnica Białostocka/Brest</t>
  </si>
  <si>
    <t>E08</t>
  </si>
  <si>
    <t>540618N</t>
  </si>
  <si>
    <t>0230300E</t>
  </si>
  <si>
    <t>Rejon Suwałki, granica PL-BY (trójstyk PL-BY-LT na S)</t>
  </si>
  <si>
    <t>GRANICA PÓŁNOCNO-WSCHODNIA — Litwa / FIR EYVI (Wilno)</t>
  </si>
  <si>
    <t>N01</t>
  </si>
  <si>
    <t>OGRODNIKI</t>
  </si>
  <si>
    <t>PL-LT</t>
  </si>
  <si>
    <t>EYVI (Vilnius)</t>
  </si>
  <si>
    <t>542112N</t>
  </si>
  <si>
    <t>0233142E</t>
  </si>
  <si>
    <t>Przejście graniczne Ogrodniki/Lazdijai (droga 16/E67)</t>
  </si>
  <si>
    <t>N02</t>
  </si>
  <si>
    <t>BUDZISKO</t>
  </si>
  <si>
    <t>542600N</t>
  </si>
  <si>
    <t>0230642E</t>
  </si>
  <si>
    <t>Przejście graniczne Budzisko (A8/Via Baltica)</t>
  </si>
  <si>
    <t>GRANICA PÓŁNOCNA — Kaliningrad / FIR UMKK</t>
  </si>
  <si>
    <t>N03</t>
  </si>
  <si>
    <t>GOŁDAP</t>
  </si>
  <si>
    <t>PL-RU</t>
  </si>
  <si>
    <t>UMKK (Kaliningrad)</t>
  </si>
  <si>
    <t>541842N</t>
  </si>
  <si>
    <t>0221836E</t>
  </si>
  <si>
    <t>Rejon Gołdap, granica PL-RU (Obwód Kaliningradzki)</t>
  </si>
  <si>
    <t>N04</t>
  </si>
  <si>
    <t>GRONOWO</t>
  </si>
  <si>
    <t>541954N</t>
  </si>
  <si>
    <t>Przejście graniczne Gronowo/Mamonovo k/Elbląga</t>
  </si>
  <si>
    <t>N05</t>
  </si>
  <si>
    <t>BEZLEDY</t>
  </si>
  <si>
    <t>540342N</t>
  </si>
  <si>
    <t>Przejście graniczne Bezledy/Bagrationovsk (DK51)</t>
  </si>
  <si>
    <t>GRANICA MORSKA — Bałtyk</t>
  </si>
  <si>
    <t>N06</t>
  </si>
  <si>
    <t>KOŁOBRZEG</t>
  </si>
  <si>
    <t>PL morze</t>
  </si>
  <si>
    <t>EDMM/EDWW</t>
  </si>
  <si>
    <t>0153212E</t>
  </si>
  <si>
    <t>Wybrzeże bałtyckie – rejon Kołobrzegu, granica FIR nad morzem</t>
  </si>
  <si>
    <t>N07</t>
  </si>
  <si>
    <t>HELA</t>
  </si>
  <si>
    <t>EPWW wewnętrzny</t>
  </si>
  <si>
    <t>543612N</t>
  </si>
  <si>
    <t>0184748E</t>
  </si>
  <si>
    <t>Półwysep Helski – punkt orientacyjny na granicy FIR wody terytorialne/morze</t>
  </si>
  <si>
    <t>Razem: 29 punktów orientacyjnych</t>
  </si>
  <si>
    <t>Informacje o bazie danych</t>
  </si>
  <si>
    <t>ZAWARTOŚĆ SKOROSZYTU:</t>
  </si>
  <si>
    <t xml:space="preserve">  • Arkusz 'Wszystkie punkty'  — pełna lista punktów VFR (decimal degrees WGS-84), z filtrami</t>
  </si>
  <si>
    <t xml:space="preserve">  • Arkusz 'DMS (format AIP)' — te same punkty w formacie ddmmssN / dddmmssE (jak w AIP Poland)</t>
  </si>
  <si>
    <t xml:space="preserve">  • Arkusz 'Przegląd lotnisk' — lista lotnisk z ARP i liczbą punktów, suma w ostatnim wierszu</t>
  </si>
  <si>
    <t xml:space="preserve">  • Arkusz 'Bez punktów VFR'  — lotniska AD4 w AIP, dla których pilothub.pl nie wykazuje tabeli punktów</t>
  </si>
  <si>
    <t xml:space="preserve">  • Arkusz 'Info'             — ten arkusz</t>
  </si>
  <si>
    <t>ZAKRES — LOTNISKA KONTROLOWANE (AD 2) z punktami CTR/TMA:</t>
  </si>
  <si>
    <t xml:space="preserve">  EPBY(10), EPGD(7), EPKK(13), EPKT(10), EPLB(10), EPLL(11), EPMO(8), EPPO(12),</t>
  </si>
  <si>
    <t xml:space="preserve">  EPRA(10), EPRZ(10), EPSC(4), EPSY(8), EPWA(19), EPWR(6), EPZG(8)</t>
  </si>
  <si>
    <t>ZAKRES — LOTNISKA NIEKONTROLOWANE (AD 4) Z PUNKTAMI VFR:</t>
  </si>
  <si>
    <t xml:space="preserve">  EPBA(3), EPBC(14), EPBK(6), EPCD(3), EPGI(5), EPGL(7), EPJG(6), EPJS(6),</t>
  </si>
  <si>
    <t xml:space="preserve">  EPIN(8), EPKA(5), EPKE(3), EPKM(7), EPKP(4), EPKR(4), EPKW(3), EPLS(4),</t>
  </si>
  <si>
    <t xml:space="preserve">  EPML(7), EPMR(4), EPNC(4), EPNT(4), EPOD(3), EPOM(3), EPOP(6), EPPB(5),</t>
  </si>
  <si>
    <t xml:space="preserve">  EPPK(5), EPPL(3), EPPT(6), EPRG(3), EPRP(5), EPRU(4), EPSD(5), EPSK(4),</t>
  </si>
  <si>
    <t xml:space="preserve">  EPST(4), EPSU(3), EPTO(4), EPWK(4), EPWS(5), EPZA(5), EPZP(6), EPZR(6)</t>
  </si>
  <si>
    <t>ZAKRES NIE OBEJMUJE:</t>
  </si>
  <si>
    <t xml:space="preserve">  • Punktów ENR na granicy FIR Warszawa (osobna sekcja AIP VFR ENR)</t>
  </si>
  <si>
    <t xml:space="preserve">  • Lotnisk wojskowych (MIL AIP)</t>
  </si>
  <si>
    <t xml:space="preserve">  • Lądowisk ewidencjonowanych bez opublikowanych punktów VFR w AIP</t>
  </si>
  <si>
    <t>OSTRZEŻENIE:</t>
  </si>
  <si>
    <t xml:space="preserve">  Dane mają charakter wyłącznie INFORMACYJNY i EDUKACYJNY.</t>
  </si>
  <si>
    <t>Wygenerowano: 25 kwietnia 2026. Lotnisk z punktami: 55. Łącznie punktów VFR: 342.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</si>
</sst>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"/>
    <numFmt numFmtId="166" formatCode="hh:mm"/>
    <numFmt numFmtId="167" formatCode="0.000000"/>
  </numFmts>
  <fonts count="33" x14ac:knownFonts="1">
    <font>
      <sz val="11"/>
      <color theme="1"/>
      <name val="Calibri"/>
      <family val="2"/>
      <charset val="1"/>
    </font>
    <font>
      <b/>
      <i/>
      <sz val="10"/>
      <color rgb="FFFFFFFF"/>
      <name val="Calibri"/>
      <charset val="1"/>
    </font>
    <font>
      <b/>
      <sz val="20"/>
      <color rgb="FFFFFFFF"/>
      <name val="Calibri"/>
      <charset val="1"/>
    </font>
    <font>
      <b/>
      <sz val="8"/>
      <color rgb="FFFFFFFF"/>
      <name val="Calibri"/>
      <charset val="1"/>
    </font>
    <font>
      <b/>
      <sz val="11"/>
      <color rgb="FF000000"/>
      <name val="Calibri"/>
      <charset val="1"/>
    </font>
    <font>
      <b/>
      <sz val="9"/>
      <color rgb="FFFFFFFF"/>
      <name val="Calibri"/>
      <charset val="1"/>
    </font>
    <font>
      <sz val="9"/>
      <color rgb="FF000000"/>
      <name val="Calibri"/>
      <charset val="1"/>
    </font>
    <font>
      <b/>
      <sz val="8"/>
      <color rgb="FF000000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8"/>
      <color rgb="FF808080"/>
      <name val="Calibri"/>
      <charset val="1"/>
    </font>
    <font>
      <b/>
      <sz val="11"/>
      <color rgb="FF081E3C"/>
      <name val="Calibri"/>
      <charset val="1"/>
    </font>
    <font>
      <sz val="10"/>
      <color rgb="FF081E3C"/>
      <name val="Calibri"/>
      <charset val="1"/>
    </font>
    <font>
      <i/>
      <u/>
      <sz val="10"/>
      <color rgb="FF0563C1"/>
      <name val="Calibri"/>
      <charset val="1"/>
    </font>
    <font>
      <i/>
      <sz val="12"/>
      <color rgb="FF808080"/>
      <name val="Calibri"/>
      <charset val="1"/>
    </font>
    <font>
      <b/>
      <sz val="10"/>
      <color rgb="FF081E3C"/>
      <name val="Calibri"/>
      <charset val="1"/>
    </font>
    <font>
      <b/>
      <sz val="10"/>
      <color rgb="FFFFFFFF"/>
      <name val="Calibri"/>
      <charset val="1"/>
    </font>
    <font>
      <sz val="9"/>
      <color rgb="FFFFFFFF"/>
      <name val="Calibri"/>
      <charset val="1"/>
    </font>
    <font>
      <b/>
      <sz val="11"/>
      <color rgb="FFFFFFFF"/>
      <name val="Calibri"/>
      <charset val="1"/>
    </font>
    <font>
      <b/>
      <sz val="9"/>
      <color rgb="FF000000"/>
      <name val="Calibri"/>
      <charset val="1"/>
    </font>
    <font>
      <b/>
      <sz val="11"/>
      <color rgb="FFC00000"/>
      <name val="Calibri"/>
      <charset val="1"/>
    </font>
    <font>
      <b/>
      <sz val="16"/>
      <color rgb="FF081E3C"/>
      <name val="Calibri"/>
      <charset val="1"/>
    </font>
    <font>
      <sz val="11"/>
      <color rgb="FF808080"/>
      <name val="Calibri"/>
      <charset val="1"/>
    </font>
    <font>
      <b/>
      <sz val="12"/>
      <color rgb="FF081E3C"/>
      <name val="Calibri"/>
      <charset val="1"/>
    </font>
    <font>
      <b/>
      <sz val="14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7B2C2C"/>
      <name val="Arial"/>
      <charset val="1"/>
    </font>
    <font>
      <b/>
      <sz val="10"/>
      <color rgb="FF7B3F0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081E3C"/>
        <bgColor rgb="FF0B2A52"/>
      </patternFill>
    </fill>
    <fill>
      <patternFill patternType="solid">
        <fgColor rgb="FF0B2A52"/>
        <bgColor rgb="FF081E3C"/>
      </patternFill>
    </fill>
    <fill>
      <patternFill patternType="solid">
        <fgColor rgb="FF1F4E79"/>
        <bgColor rgb="FF2F5496"/>
      </patternFill>
    </fill>
    <fill>
      <patternFill patternType="solid">
        <fgColor rgb="FFFFF8DC"/>
        <bgColor rgb="FFFFF4E6"/>
      </patternFill>
    </fill>
    <fill>
      <patternFill patternType="solid">
        <fgColor rgb="FFD9E2F3"/>
        <bgColor rgb="FFD9E1F2"/>
      </patternFill>
    </fill>
    <fill>
      <patternFill patternType="solid">
        <fgColor rgb="FFE8EEF7"/>
        <bgColor rgb="FFEBF3FB"/>
      </patternFill>
    </fill>
    <fill>
      <patternFill patternType="solid">
        <fgColor rgb="FFC8D5E8"/>
        <bgColor rgb="FFBDD7EE"/>
      </patternFill>
    </fill>
    <fill>
      <patternFill patternType="solid">
        <fgColor rgb="FFF8F9FB"/>
        <bgColor rgb="FFF4F7FB"/>
      </patternFill>
    </fill>
    <fill>
      <patternFill patternType="solid">
        <fgColor rgb="FFFFFFFF"/>
        <bgColor rgb="FFF8F9FB"/>
      </patternFill>
    </fill>
    <fill>
      <patternFill patternType="solid">
        <fgColor rgb="FFECECEC"/>
        <bgColor rgb="FFE8EEF7"/>
      </patternFill>
    </fill>
    <fill>
      <patternFill patternType="solid">
        <fgColor rgb="FFF4F7FB"/>
        <bgColor rgb="FFF8F9FB"/>
      </patternFill>
    </fill>
    <fill>
      <patternFill patternType="solid">
        <fgColor rgb="FFDEE6F2"/>
        <bgColor rgb="FFD9E2F3"/>
      </patternFill>
    </fill>
    <fill>
      <patternFill patternType="solid">
        <fgColor rgb="FFBDD7EE"/>
        <bgColor rgb="FFC8D5E8"/>
      </patternFill>
    </fill>
    <fill>
      <patternFill patternType="solid">
        <fgColor rgb="FF1F3864"/>
        <bgColor rgb="FF0B2A52"/>
      </patternFill>
    </fill>
    <fill>
      <patternFill patternType="solid">
        <fgColor rgb="FFFFF4E6"/>
        <bgColor rgb="FFFFF8DC"/>
      </patternFill>
    </fill>
    <fill>
      <patternFill patternType="solid">
        <fgColor rgb="FFEBF3FB"/>
        <bgColor rgb="FFE8EEF7"/>
      </patternFill>
    </fill>
    <fill>
      <patternFill patternType="solid">
        <fgColor rgb="FFD9E1F2"/>
        <bgColor rgb="FFD9E2F3"/>
      </patternFill>
    </fill>
    <fill>
      <patternFill patternType="solid">
        <fgColor rgb="FFFFF2CC"/>
        <bgColor rgb="FFFFF8DC"/>
      </patternFill>
    </fill>
    <fill>
      <patternFill patternType="solid">
        <fgColor rgb="FF7B2C2C"/>
        <bgColor rgb="FF843C0C"/>
      </patternFill>
    </fill>
    <fill>
      <patternFill patternType="solid">
        <fgColor rgb="FF2F5496"/>
        <bgColor rgb="FF1F4E79"/>
      </patternFill>
    </fill>
    <fill>
      <patternFill patternType="solid">
        <fgColor rgb="FFFAF0F0"/>
        <bgColor rgb="FFFFF4E6"/>
      </patternFill>
    </fill>
    <fill>
      <patternFill patternType="solid">
        <fgColor rgb="FF538135"/>
        <bgColor rgb="FF808000"/>
      </patternFill>
    </fill>
    <fill>
      <patternFill patternType="solid">
        <fgColor rgb="FF843C0C"/>
        <bgColor rgb="FF7B3F00"/>
      </patternFill>
    </fill>
    <fill>
      <patternFill patternType="solid">
        <fgColor rgb="FF375623"/>
        <bgColor rgb="FF595959"/>
      </patternFill>
    </fill>
    <fill>
      <patternFill patternType="solid">
        <fgColor rgb="FF595959"/>
        <bgColor rgb="FF375623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2" fillId="0" borderId="0"/>
  </cellStyleXfs>
  <cellXfs count="91"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 applyProtection="1">
      <alignment horizontal="center" vertical="center"/>
      <protection locked="0"/>
    </xf>
    <xf numFmtId="164" fontId="9" fillId="7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 applyProtection="1">
      <alignment horizontal="center" vertical="center"/>
      <protection locked="0"/>
    </xf>
    <xf numFmtId="1" fontId="8" fillId="5" borderId="2" xfId="0" applyNumberFormat="1" applyFont="1" applyFill="1" applyBorder="1" applyAlignment="1" applyProtection="1">
      <alignment horizontal="center" vertical="center"/>
      <protection locked="0"/>
    </xf>
    <xf numFmtId="0" fontId="7" fillId="6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 applyProtection="1">
      <alignment horizontal="left" vertical="top" wrapText="1"/>
      <protection locked="0"/>
    </xf>
    <xf numFmtId="0" fontId="5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 applyProtection="1">
      <alignment horizontal="center" vertical="center"/>
      <protection locked="0"/>
    </xf>
    <xf numFmtId="1" fontId="8" fillId="5" borderId="2" xfId="0" applyNumberFormat="1" applyFont="1" applyFill="1" applyBorder="1" applyAlignment="1" applyProtection="1">
      <alignment horizontal="center" vertical="center"/>
      <protection locked="0"/>
    </xf>
    <xf numFmtId="164" fontId="9" fillId="7" borderId="2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5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8" borderId="2" xfId="0" applyFont="1" applyFill="1" applyBorder="1" applyAlignment="1" applyProtection="1">
      <alignment horizontal="left" vertical="center"/>
      <protection locked="0"/>
    </xf>
    <xf numFmtId="0" fontId="12" fillId="8" borderId="2" xfId="0" applyFont="1" applyFill="1" applyBorder="1" applyAlignment="1" applyProtection="1">
      <alignment horizontal="center" vertical="center"/>
      <protection locked="0"/>
    </xf>
    <xf numFmtId="165" fontId="0" fillId="0" borderId="0" xfId="0" applyNumberFormat="1"/>
    <xf numFmtId="0" fontId="14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1" fontId="15" fillId="7" borderId="2" xfId="0" applyNumberFormat="1" applyFont="1" applyFill="1" applyBorder="1" applyAlignment="1">
      <alignment horizontal="center" vertical="center"/>
    </xf>
    <xf numFmtId="166" fontId="15" fillId="7" borderId="2" xfId="0" applyNumberFormat="1" applyFont="1" applyFill="1" applyBorder="1" applyAlignment="1">
      <alignment horizontal="center" vertical="center"/>
    </xf>
    <xf numFmtId="166" fontId="8" fillId="5" borderId="2" xfId="0" applyNumberFormat="1" applyFont="1" applyFill="1" applyBorder="1" applyAlignment="1" applyProtection="1">
      <alignment horizontal="center" vertical="center"/>
      <protection locked="0"/>
    </xf>
    <xf numFmtId="0" fontId="14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64" fontId="18" fillId="3" borderId="1" xfId="0" applyNumberFormat="1" applyFont="1" applyFill="1" applyBorder="1" applyAlignment="1">
      <alignment horizontal="center" vertical="center"/>
    </xf>
    <xf numFmtId="1" fontId="18" fillId="3" borderId="1" xfId="0" applyNumberFormat="1" applyFont="1" applyFill="1" applyBorder="1" applyAlignment="1">
      <alignment horizontal="center" vertical="center"/>
    </xf>
    <xf numFmtId="166" fontId="18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20" fillId="14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3" fillId="6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3" fillId="0" borderId="0" xfId="0" applyFont="1"/>
    <xf numFmtId="0" fontId="32" fillId="0" borderId="0" xfId="1"/>
    <xf numFmtId="0" fontId="24" fillId="0" borderId="0" xfId="1" applyFont="1"/>
    <xf numFmtId="0" fontId="25" fillId="15" borderId="3" xfId="1" applyFont="1" applyFill="1" applyBorder="1" applyAlignment="1">
      <alignment horizontal="center" vertical="center"/>
    </xf>
    <xf numFmtId="0" fontId="25" fillId="15" borderId="3" xfId="0" applyFont="1" applyFill="1" applyBorder="1" applyAlignment="1">
      <alignment horizontal="center" vertical="center"/>
    </xf>
    <xf numFmtId="0" fontId="26" fillId="0" borderId="3" xfId="1" applyFont="1" applyBorder="1" applyAlignment="1">
      <alignment horizontal="center" vertical="center"/>
    </xf>
    <xf numFmtId="0" fontId="26" fillId="0" borderId="3" xfId="1" applyFont="1" applyBorder="1" applyAlignment="1">
      <alignment horizontal="left" vertical="center" wrapText="1"/>
    </xf>
    <xf numFmtId="167" fontId="26" fillId="0" borderId="3" xfId="1" applyNumberFormat="1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/>
    </xf>
    <xf numFmtId="0" fontId="26" fillId="16" borderId="3" xfId="0" applyFont="1" applyFill="1" applyBorder="1" applyAlignment="1">
      <alignment horizontal="center" vertical="center"/>
    </xf>
    <xf numFmtId="0" fontId="26" fillId="16" borderId="3" xfId="0" applyFont="1" applyFill="1" applyBorder="1" applyAlignment="1">
      <alignment horizontal="left" vertical="center" wrapText="1"/>
    </xf>
    <xf numFmtId="165" fontId="26" fillId="16" borderId="3" xfId="0" applyNumberFormat="1" applyFont="1" applyFill="1" applyBorder="1" applyAlignment="1">
      <alignment horizontal="center" vertical="center"/>
    </xf>
    <xf numFmtId="0" fontId="26" fillId="16" borderId="3" xfId="0" applyFont="1" applyFill="1" applyBorder="1" applyAlignment="1">
      <alignment horizontal="left" vertical="center"/>
    </xf>
    <xf numFmtId="0" fontId="26" fillId="17" borderId="3" xfId="1" applyFont="1" applyFill="1" applyBorder="1" applyAlignment="1">
      <alignment horizontal="center" vertical="center"/>
    </xf>
    <xf numFmtId="0" fontId="26" fillId="17" borderId="3" xfId="1" applyFont="1" applyFill="1" applyBorder="1" applyAlignment="1">
      <alignment horizontal="left" vertical="center" wrapText="1"/>
    </xf>
    <xf numFmtId="167" fontId="26" fillId="17" borderId="3" xfId="1" applyNumberFormat="1" applyFont="1" applyFill="1" applyBorder="1" applyAlignment="1">
      <alignment horizontal="center" vertical="center"/>
    </xf>
    <xf numFmtId="0" fontId="26" fillId="10" borderId="3" xfId="1" applyFont="1" applyFill="1" applyBorder="1" applyAlignment="1">
      <alignment horizontal="center" vertical="center"/>
    </xf>
    <xf numFmtId="0" fontId="26" fillId="10" borderId="3" xfId="1" applyFont="1" applyFill="1" applyBorder="1" applyAlignment="1">
      <alignment horizontal="left" vertical="center" wrapText="1"/>
    </xf>
    <xf numFmtId="167" fontId="26" fillId="10" borderId="3" xfId="1" applyNumberFormat="1" applyFont="1" applyFill="1" applyBorder="1" applyAlignment="1">
      <alignment horizontal="center" vertical="center"/>
    </xf>
    <xf numFmtId="0" fontId="27" fillId="18" borderId="3" xfId="1" applyFont="1" applyFill="1" applyBorder="1" applyAlignment="1">
      <alignment horizontal="center" vertical="center"/>
    </xf>
    <xf numFmtId="0" fontId="27" fillId="18" borderId="3" xfId="1" applyFont="1" applyFill="1" applyBorder="1"/>
    <xf numFmtId="0" fontId="32" fillId="18" borderId="3" xfId="1" applyFill="1" applyBorder="1"/>
    <xf numFmtId="0" fontId="26" fillId="0" borderId="3" xfId="1" applyFont="1" applyBorder="1"/>
    <xf numFmtId="0" fontId="25" fillId="20" borderId="3" xfId="1" applyFont="1" applyFill="1" applyBorder="1" applyAlignment="1">
      <alignment horizontal="center" vertical="center"/>
    </xf>
    <xf numFmtId="0" fontId="26" fillId="22" borderId="3" xfId="1" applyFont="1" applyFill="1" applyBorder="1" applyAlignment="1">
      <alignment horizontal="center" vertical="center"/>
    </xf>
    <xf numFmtId="167" fontId="26" fillId="22" borderId="3" xfId="1" applyNumberFormat="1" applyFont="1" applyFill="1" applyBorder="1" applyAlignment="1">
      <alignment horizontal="center" vertical="center"/>
    </xf>
    <xf numFmtId="0" fontId="26" fillId="22" borderId="3" xfId="1" applyFont="1" applyFill="1" applyBorder="1" applyAlignment="1">
      <alignment horizontal="left" vertical="center" wrapText="1"/>
    </xf>
    <xf numFmtId="0" fontId="26" fillId="0" borderId="0" xfId="1" applyFont="1" applyAlignment="1">
      <alignment horizontal="left" vertical="top"/>
    </xf>
    <xf numFmtId="0" fontId="27" fillId="0" borderId="0" xfId="1" applyFont="1" applyAlignment="1">
      <alignment horizontal="left" vertical="top"/>
    </xf>
    <xf numFmtId="0" fontId="19" fillId="6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24" fillId="0" borderId="0" xfId="1" applyFont="1"/>
    <xf numFmtId="0" fontId="28" fillId="0" borderId="0" xfId="1" applyFont="1"/>
    <xf numFmtId="0" fontId="29" fillId="19" borderId="0" xfId="1" applyFont="1" applyFill="1" applyAlignment="1">
      <alignment horizontal="left" vertical="center" wrapText="1"/>
    </xf>
    <xf numFmtId="0" fontId="30" fillId="0" borderId="0" xfId="1" applyFont="1" applyAlignment="1">
      <alignment horizontal="left" vertical="center" wrapText="1"/>
    </xf>
    <xf numFmtId="0" fontId="31" fillId="21" borderId="3" xfId="1" applyFont="1" applyFill="1" applyBorder="1" applyAlignment="1">
      <alignment horizontal="left" vertical="center" wrapText="1"/>
    </xf>
    <xf numFmtId="0" fontId="31" fillId="23" borderId="3" xfId="1" applyFont="1" applyFill="1" applyBorder="1" applyAlignment="1">
      <alignment horizontal="left" vertical="center" wrapText="1"/>
    </xf>
    <xf numFmtId="0" fontId="31" fillId="24" borderId="3" xfId="1" applyFont="1" applyFill="1" applyBorder="1" applyAlignment="1">
      <alignment horizontal="left" vertical="center" wrapText="1"/>
    </xf>
    <xf numFmtId="0" fontId="31" fillId="20" borderId="3" xfId="1" applyFont="1" applyFill="1" applyBorder="1" applyAlignment="1">
      <alignment horizontal="left" vertical="center" wrapText="1"/>
    </xf>
    <xf numFmtId="0" fontId="31" fillId="25" borderId="3" xfId="1" applyFont="1" applyFill="1" applyBorder="1" applyAlignment="1">
      <alignment horizontal="left" vertical="center" wrapText="1"/>
    </xf>
    <xf numFmtId="0" fontId="31" fillId="26" borderId="3" xfId="1" applyFont="1" applyFill="1" applyBorder="1" applyAlignment="1">
      <alignment horizontal="left" vertical="center" wrapText="1"/>
    </xf>
    <xf numFmtId="0" fontId="31" fillId="4" borderId="3" xfId="1" applyFont="1" applyFill="1" applyBorder="1" applyAlignment="1">
      <alignment horizontal="left" vertical="center" wrapText="1"/>
    </xf>
    <xf numFmtId="0" fontId="27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4E6"/>
      <rgbColor rgb="FFFF00FF"/>
      <rgbColor rgb="FF00FFFF"/>
      <rgbColor rgb="FF800000"/>
      <rgbColor rgb="FF008000"/>
      <rgbColor rgb="FF000080"/>
      <rgbColor rgb="FF808000"/>
      <rgbColor rgb="FF800080"/>
      <rgbColor rgb="FF1F4E79"/>
      <rgbColor rgb="FFBFBFBF"/>
      <rgbColor rgb="FF808080"/>
      <rgbColor rgb="FFF4F7FB"/>
      <rgbColor rgb="FF7B2C2C"/>
      <rgbColor rgb="FFFFF8DC"/>
      <rgbColor rgb="FFEBF3FB"/>
      <rgbColor rgb="FF660066"/>
      <rgbColor rgb="FFFF8080"/>
      <rgbColor rgb="FF0563C1"/>
      <rgbColor rgb="FFC8D5E8"/>
      <rgbColor rgb="FF000080"/>
      <rgbColor rgb="FFFF00FF"/>
      <rgbColor rgb="FFFAF0F0"/>
      <rgbColor rgb="FF00FFFF"/>
      <rgbColor rgb="FF800080"/>
      <rgbColor rgb="FF800000"/>
      <rgbColor rgb="FF008080"/>
      <rgbColor rgb="FF0000FF"/>
      <rgbColor rgb="FF00CCFF"/>
      <rgbColor rgb="FFE8EEF7"/>
      <rgbColor rgb="FFDEE6F2"/>
      <rgbColor rgb="FFFFF2CC"/>
      <rgbColor rgb="FFBDD7EE"/>
      <rgbColor rgb="FFD9E2F3"/>
      <rgbColor rgb="FFD9E1F2"/>
      <rgbColor rgb="FFECECEC"/>
      <rgbColor rgb="FF3366FF"/>
      <rgbColor rgb="FF33CCCC"/>
      <rgbColor rgb="FF99CC00"/>
      <rgbColor rgb="FFF8F9FB"/>
      <rgbColor rgb="FFFF9900"/>
      <rgbColor rgb="FFFF6600"/>
      <rgbColor rgb="FF595959"/>
      <rgbColor rgb="FF969696"/>
      <rgbColor rgb="FF0B2A52"/>
      <rgbColor rgb="FF538135"/>
      <rgbColor rgb="FF081E3C"/>
      <rgbColor rgb="FF375623"/>
      <rgbColor rgb="FF843C0C"/>
      <rgbColor rgb="FF7B3F00"/>
      <rgbColor rgb="FF2F5496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f\Downloads\nn.xlsx" TargetMode="External"/><Relationship Id="rId1" Type="http://schemas.openxmlformats.org/officeDocument/2006/relationships/externalLinkPath" Target="n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Wszystkie punkty"/>
      <sheetName val="DMS (format AIP)"/>
      <sheetName val="Przegląd lotnisk"/>
      <sheetName val="Bez punktów VFR"/>
      <sheetName val="ENR Granica FIR"/>
      <sheetName val="Info"/>
    </sheetNames>
    <sheetDataSet>
      <sheetData sheetId="0"/>
      <sheetData sheetId="1">
        <row r="3">
          <cell r="F3" t="str">
            <v>Lat (decimal)</v>
          </cell>
          <cell r="G3" t="str">
            <v>Lon (decimal)</v>
          </cell>
          <cell r="I3" t="str">
            <v>Display (lookup)</v>
          </cell>
        </row>
        <row r="4">
          <cell r="F4">
            <v>49.848329999999997</v>
          </cell>
          <cell r="G4">
            <v>19.030280000000001</v>
          </cell>
          <cell r="I4" t="str">
            <v>ALFA/EPBA</v>
          </cell>
        </row>
        <row r="5">
          <cell r="F5">
            <v>49.805280000000003</v>
          </cell>
          <cell r="G5">
            <v>18.891390000000001</v>
          </cell>
          <cell r="I5" t="str">
            <v>BRAVO/EPBA</v>
          </cell>
        </row>
        <row r="6">
          <cell r="F6">
            <v>49.785829999999997</v>
          </cell>
          <cell r="G6">
            <v>19.067779999999999</v>
          </cell>
          <cell r="I6" t="str">
            <v>CHARLIE/EPBA</v>
          </cell>
        </row>
        <row r="7">
          <cell r="F7">
            <v>52.063330000000001</v>
          </cell>
          <cell r="G7">
            <v>20.74333</v>
          </cell>
          <cell r="I7" t="str">
            <v>ALFA/EPBC</v>
          </cell>
        </row>
        <row r="8">
          <cell r="F8">
            <v>52.184170000000002</v>
          </cell>
          <cell r="G8">
            <v>20.613890000000001</v>
          </cell>
          <cell r="I8" t="str">
            <v>BRAVO/EPBC</v>
          </cell>
        </row>
        <row r="9">
          <cell r="F9">
            <v>52.343330000000002</v>
          </cell>
          <cell r="G9">
            <v>21.227779999999999</v>
          </cell>
          <cell r="I9" t="str">
            <v>DELTA/EPBC</v>
          </cell>
        </row>
        <row r="10">
          <cell r="F10">
            <v>52.181669999999997</v>
          </cell>
          <cell r="G10">
            <v>20.98611</v>
          </cell>
          <cell r="I10" t="str">
            <v>ECHO/EPBC</v>
          </cell>
        </row>
        <row r="11">
          <cell r="F11">
            <v>52.260829999999999</v>
          </cell>
          <cell r="G11">
            <v>20.73556</v>
          </cell>
          <cell r="I11" t="str">
            <v>FOXTROT/EPBC</v>
          </cell>
        </row>
        <row r="12">
          <cell r="F12">
            <v>51.990830000000003</v>
          </cell>
          <cell r="G12">
            <v>21.234719999999999</v>
          </cell>
          <cell r="I12" t="str">
            <v>GOLF/EPBC</v>
          </cell>
        </row>
        <row r="13">
          <cell r="F13">
            <v>52.377780000000001</v>
          </cell>
          <cell r="G13">
            <v>20.91667</v>
          </cell>
          <cell r="I13" t="str">
            <v>JULIETT/EPBC</v>
          </cell>
        </row>
        <row r="14">
          <cell r="F14">
            <v>52.091389999999997</v>
          </cell>
          <cell r="G14">
            <v>21.237500000000001</v>
          </cell>
          <cell r="I14" t="str">
            <v>KILO/EPBC</v>
          </cell>
        </row>
        <row r="15">
          <cell r="F15">
            <v>52.344439999999999</v>
          </cell>
          <cell r="G15">
            <v>20.920829999999999</v>
          </cell>
          <cell r="I15" t="str">
            <v>LUQIQ/EPBC</v>
          </cell>
        </row>
        <row r="16">
          <cell r="F16">
            <v>52.22278</v>
          </cell>
          <cell r="G16">
            <v>21.25</v>
          </cell>
          <cell r="I16" t="str">
            <v>MIKE/EPBC</v>
          </cell>
        </row>
        <row r="17">
          <cell r="F17">
            <v>52.217500000000001</v>
          </cell>
          <cell r="G17">
            <v>21.09722</v>
          </cell>
          <cell r="I17" t="str">
            <v>NOVEMBER/EPBC</v>
          </cell>
        </row>
        <row r="18">
          <cell r="F18">
            <v>52.304720000000003</v>
          </cell>
          <cell r="G18">
            <v>21.08389</v>
          </cell>
          <cell r="I18" t="str">
            <v>PAPA/EPBC</v>
          </cell>
        </row>
        <row r="19">
          <cell r="F19">
            <v>51.970559999999999</v>
          </cell>
          <cell r="G19">
            <v>20.83361</v>
          </cell>
          <cell r="I19" t="str">
            <v>TANGO/EPBC</v>
          </cell>
        </row>
        <row r="20">
          <cell r="F20">
            <v>52.290280000000003</v>
          </cell>
          <cell r="G20">
            <v>21.010829999999999</v>
          </cell>
          <cell r="I20" t="str">
            <v>ZULU/EPBC</v>
          </cell>
        </row>
        <row r="21">
          <cell r="F21">
            <v>53.109720000000003</v>
          </cell>
          <cell r="G21">
            <v>23.23583</v>
          </cell>
          <cell r="I21" t="str">
            <v>DELTA/EPBK</v>
          </cell>
        </row>
        <row r="22">
          <cell r="F22">
            <v>53.081940000000003</v>
          </cell>
          <cell r="G22">
            <v>23.101669999999999</v>
          </cell>
          <cell r="I22" t="str">
            <v>KILO/EPBK</v>
          </cell>
        </row>
        <row r="23">
          <cell r="F23">
            <v>53.03</v>
          </cell>
          <cell r="G23">
            <v>23.123609999999999</v>
          </cell>
          <cell r="I23" t="str">
            <v>LIMA/EPBK</v>
          </cell>
        </row>
        <row r="24">
          <cell r="F24">
            <v>53.185279999999999</v>
          </cell>
          <cell r="G24">
            <v>23.262219999999999</v>
          </cell>
          <cell r="I24" t="str">
            <v>OSCAR/EPBK</v>
          </cell>
        </row>
        <row r="25">
          <cell r="F25">
            <v>53.148330000000001</v>
          </cell>
          <cell r="G25">
            <v>23.06</v>
          </cell>
          <cell r="I25" t="str">
            <v>PAPA/EPBK</v>
          </cell>
        </row>
        <row r="26">
          <cell r="F26">
            <v>53.052219999999998</v>
          </cell>
          <cell r="G26">
            <v>23.335560000000001</v>
          </cell>
          <cell r="I26" t="str">
            <v>ROMEO/EPBK</v>
          </cell>
        </row>
        <row r="27">
          <cell r="F27">
            <v>52.972499999999997</v>
          </cell>
          <cell r="G27">
            <v>17.72278</v>
          </cell>
          <cell r="I27" t="str">
            <v>KILO/EPBY</v>
          </cell>
        </row>
        <row r="28">
          <cell r="F28">
            <v>52.95167</v>
          </cell>
          <cell r="G28">
            <v>17.920280000000002</v>
          </cell>
          <cell r="I28" t="str">
            <v>LIMA/EPBY</v>
          </cell>
        </row>
        <row r="29">
          <cell r="F29">
            <v>53.223610000000001</v>
          </cell>
          <cell r="G29">
            <v>18.036940000000001</v>
          </cell>
          <cell r="I29" t="str">
            <v>MIKE/EPBY</v>
          </cell>
        </row>
        <row r="30">
          <cell r="F30">
            <v>53.176110000000001</v>
          </cell>
          <cell r="G30">
            <v>18.05639</v>
          </cell>
          <cell r="I30" t="str">
            <v>NOVEMBER/EPBY</v>
          </cell>
        </row>
        <row r="31">
          <cell r="F31">
            <v>53.139719999999997</v>
          </cell>
          <cell r="G31">
            <v>17.591670000000001</v>
          </cell>
          <cell r="I31" t="str">
            <v>OSCAR/EPBY</v>
          </cell>
        </row>
        <row r="32">
          <cell r="F32">
            <v>53.156939999999999</v>
          </cell>
          <cell r="G32">
            <v>17.88861</v>
          </cell>
          <cell r="I32" t="str">
            <v>PAPA/EPBY</v>
          </cell>
        </row>
        <row r="33">
          <cell r="F33">
            <v>53.153329999999997</v>
          </cell>
          <cell r="G33">
            <v>18.001940000000001</v>
          </cell>
          <cell r="I33" t="str">
            <v>ROMEO/EPBY</v>
          </cell>
        </row>
        <row r="34">
          <cell r="F34">
            <v>53.052500000000002</v>
          </cell>
          <cell r="G34">
            <v>17.996110000000002</v>
          </cell>
          <cell r="I34" t="str">
            <v>SIERRA/EPBY</v>
          </cell>
        </row>
        <row r="35">
          <cell r="F35">
            <v>53.20778</v>
          </cell>
          <cell r="G35">
            <v>18.378609999999998</v>
          </cell>
          <cell r="I35" t="str">
            <v>UNIFORM/EPBY</v>
          </cell>
        </row>
        <row r="36">
          <cell r="F36">
            <v>52.976109999999998</v>
          </cell>
          <cell r="G36">
            <v>18.099440000000001</v>
          </cell>
          <cell r="I36" t="str">
            <v>WHISKEY/EPBY</v>
          </cell>
        </row>
        <row r="37">
          <cell r="F37">
            <v>51.16778</v>
          </cell>
          <cell r="G37">
            <v>23.35</v>
          </cell>
          <cell r="I37" t="str">
            <v>NOVEMBER/EPCD</v>
          </cell>
        </row>
        <row r="38">
          <cell r="F38">
            <v>51.09111</v>
          </cell>
          <cell r="G38">
            <v>23.287780000000001</v>
          </cell>
          <cell r="I38" t="str">
            <v>WHISKEY/EPCD</v>
          </cell>
        </row>
        <row r="39">
          <cell r="F39">
            <v>51.018610000000002</v>
          </cell>
          <cell r="G39">
            <v>23.370830000000002</v>
          </cell>
          <cell r="I39" t="str">
            <v>ZULU/EPCD</v>
          </cell>
        </row>
        <row r="40">
          <cell r="F40">
            <v>54.37444</v>
          </cell>
          <cell r="G40">
            <v>18.778890000000001</v>
          </cell>
          <cell r="I40" t="str">
            <v>GOLF/EPGD</v>
          </cell>
        </row>
        <row r="41">
          <cell r="F41">
            <v>54.471110000000003</v>
          </cell>
          <cell r="G41">
            <v>18.309719999999999</v>
          </cell>
          <cell r="I41" t="str">
            <v>INDIA/EPGD</v>
          </cell>
        </row>
        <row r="42">
          <cell r="F42">
            <v>54.444719999999997</v>
          </cell>
          <cell r="G42">
            <v>18.544440000000002</v>
          </cell>
          <cell r="I42" t="str">
            <v>MIKE/EPGD</v>
          </cell>
        </row>
        <row r="43">
          <cell r="F43">
            <v>54.411670000000001</v>
          </cell>
          <cell r="G43">
            <v>18.484999999999999</v>
          </cell>
          <cell r="I43" t="str">
            <v>NOVEMBER/EPGD</v>
          </cell>
        </row>
        <row r="44">
          <cell r="F44">
            <v>54.344999999999999</v>
          </cell>
          <cell r="G44">
            <v>18.434999999999999</v>
          </cell>
          <cell r="I44" t="str">
            <v>SIERRA/EPGD</v>
          </cell>
        </row>
        <row r="45">
          <cell r="F45">
            <v>54.276110000000003</v>
          </cell>
          <cell r="G45">
            <v>18.489439999999998</v>
          </cell>
          <cell r="I45" t="str">
            <v>X-RAY/EPGD</v>
          </cell>
        </row>
        <row r="46">
          <cell r="F46">
            <v>54.325000000000003</v>
          </cell>
          <cell r="G46">
            <v>18.183610000000002</v>
          </cell>
          <cell r="I46" t="str">
            <v>ZULU/EPGD</v>
          </cell>
        </row>
        <row r="47">
          <cell r="F47">
            <v>53.43806</v>
          </cell>
          <cell r="G47">
            <v>18.94417</v>
          </cell>
          <cell r="I47" t="str">
            <v>ECHO/EPGI</v>
          </cell>
        </row>
        <row r="48">
          <cell r="F48">
            <v>53.61083</v>
          </cell>
          <cell r="G48">
            <v>18.946670000000001</v>
          </cell>
          <cell r="I48" t="str">
            <v>GOLF/EPGI</v>
          </cell>
        </row>
        <row r="49">
          <cell r="F49">
            <v>53.483890000000002</v>
          </cell>
          <cell r="G49">
            <v>18.739719999999998</v>
          </cell>
          <cell r="I49" t="str">
            <v>MIKE/EPGI</v>
          </cell>
        </row>
        <row r="50">
          <cell r="F50">
            <v>53.55556</v>
          </cell>
          <cell r="G50">
            <v>18.765830000000001</v>
          </cell>
          <cell r="I50" t="str">
            <v>OSCAR/EPGI</v>
          </cell>
        </row>
        <row r="51">
          <cell r="F51">
            <v>53.523330000000001</v>
          </cell>
          <cell r="G51">
            <v>18.955559999999998</v>
          </cell>
          <cell r="I51" t="str">
            <v>ROMEO/EPGI</v>
          </cell>
        </row>
        <row r="52">
          <cell r="F52">
            <v>50.264719999999997</v>
          </cell>
          <cell r="G52">
            <v>19.434719999999999</v>
          </cell>
          <cell r="I52" t="str">
            <v>BRAVO/EPGL</v>
          </cell>
        </row>
        <row r="53">
          <cell r="F53">
            <v>50.40361</v>
          </cell>
          <cell r="G53">
            <v>19.055</v>
          </cell>
          <cell r="I53" t="str">
            <v>GOLF/EPGL</v>
          </cell>
        </row>
        <row r="54">
          <cell r="F54">
            <v>50.318060000000003</v>
          </cell>
          <cell r="G54">
            <v>19.237220000000001</v>
          </cell>
          <cell r="I54" t="str">
            <v>HOTEL/EPGL</v>
          </cell>
        </row>
        <row r="55">
          <cell r="F55">
            <v>50.178890000000003</v>
          </cell>
          <cell r="G55">
            <v>18.906939999999999</v>
          </cell>
          <cell r="I55" t="str">
            <v>MIKE/EPGL</v>
          </cell>
        </row>
        <row r="56">
          <cell r="F56">
            <v>50.39472</v>
          </cell>
          <cell r="G56">
            <v>18.629169999999998</v>
          </cell>
          <cell r="I56" t="str">
            <v>PAPA/EPGL</v>
          </cell>
        </row>
        <row r="57">
          <cell r="F57">
            <v>50.1325</v>
          </cell>
          <cell r="G57">
            <v>19.024999999999999</v>
          </cell>
          <cell r="I57" t="str">
            <v>SIERRA/EPGL</v>
          </cell>
        </row>
        <row r="58">
          <cell r="F58">
            <v>50.35389</v>
          </cell>
          <cell r="G58">
            <v>18.866389999999999</v>
          </cell>
          <cell r="I58" t="str">
            <v>TANGO/EPGL</v>
          </cell>
        </row>
        <row r="59">
          <cell r="F59">
            <v>52.856110000000001</v>
          </cell>
          <cell r="G59">
            <v>18.198889999999999</v>
          </cell>
          <cell r="I59" t="str">
            <v>JULIETT/EPIN</v>
          </cell>
        </row>
        <row r="60">
          <cell r="F60">
            <v>52.677219999999998</v>
          </cell>
          <cell r="G60">
            <v>18.0075</v>
          </cell>
          <cell r="I60" t="str">
            <v>MIKE/EPIN</v>
          </cell>
        </row>
        <row r="61">
          <cell r="F61">
            <v>52.894170000000003</v>
          </cell>
          <cell r="G61">
            <v>18.316109999999998</v>
          </cell>
          <cell r="I61" t="str">
            <v>NOVEMBER/EPIN</v>
          </cell>
        </row>
        <row r="62">
          <cell r="F62">
            <v>52.833889999999997</v>
          </cell>
          <cell r="G62">
            <v>18.65361</v>
          </cell>
          <cell r="I62" t="str">
            <v>PAPA/EPIN</v>
          </cell>
        </row>
        <row r="63">
          <cell r="F63">
            <v>52.631390000000003</v>
          </cell>
          <cell r="G63">
            <v>18.535</v>
          </cell>
          <cell r="I63" t="str">
            <v>ROMEO/EPIN</v>
          </cell>
        </row>
        <row r="64">
          <cell r="F64">
            <v>52.731940000000002</v>
          </cell>
          <cell r="G64">
            <v>18.26972</v>
          </cell>
          <cell r="I64" t="str">
            <v>SIERRA/EPIN</v>
          </cell>
        </row>
        <row r="65">
          <cell r="F65">
            <v>52.814169999999997</v>
          </cell>
          <cell r="G65">
            <v>18.47167</v>
          </cell>
          <cell r="I65" t="str">
            <v>WHISKEY/EPIN</v>
          </cell>
        </row>
        <row r="66">
          <cell r="F66">
            <v>52.903329999999997</v>
          </cell>
          <cell r="G66">
            <v>18.141110000000001</v>
          </cell>
          <cell r="I66" t="str">
            <v>ZULU/EPIN</v>
          </cell>
        </row>
        <row r="67">
          <cell r="F67">
            <v>50.961109999999998</v>
          </cell>
          <cell r="G67">
            <v>15.796390000000001</v>
          </cell>
          <cell r="I67" t="str">
            <v>ALFA/EPJG</v>
          </cell>
        </row>
        <row r="68">
          <cell r="F68">
            <v>50.874720000000003</v>
          </cell>
          <cell r="G68">
            <v>15.92</v>
          </cell>
          <cell r="I68" t="str">
            <v>JULIETT/EPJG</v>
          </cell>
        </row>
        <row r="69">
          <cell r="F69">
            <v>50.963610000000003</v>
          </cell>
          <cell r="G69">
            <v>15.645</v>
          </cell>
          <cell r="I69" t="str">
            <v>PAPA/EPJG</v>
          </cell>
        </row>
        <row r="70">
          <cell r="F70">
            <v>50.829439999999998</v>
          </cell>
          <cell r="G70">
            <v>15.70722</v>
          </cell>
          <cell r="I70" t="str">
            <v>SIERRA/EPJG</v>
          </cell>
        </row>
        <row r="71">
          <cell r="F71">
            <v>50.938330000000001</v>
          </cell>
          <cell r="G71">
            <v>15.90917</v>
          </cell>
          <cell r="I71" t="str">
            <v>WHISKEY/EPJG</v>
          </cell>
        </row>
        <row r="72">
          <cell r="F72">
            <v>50.883890000000001</v>
          </cell>
          <cell r="G72">
            <v>15.811109999999999</v>
          </cell>
          <cell r="I72" t="str">
            <v>ZULU/EPJG</v>
          </cell>
        </row>
        <row r="73">
          <cell r="F73">
            <v>50.961109999999998</v>
          </cell>
          <cell r="G73">
            <v>15.796390000000001</v>
          </cell>
          <cell r="I73" t="str">
            <v>ALFA/EPJS</v>
          </cell>
        </row>
        <row r="74">
          <cell r="F74">
            <v>50.874720000000003</v>
          </cell>
          <cell r="G74">
            <v>15.92</v>
          </cell>
          <cell r="I74" t="str">
            <v>JULIETT/EPJS</v>
          </cell>
        </row>
        <row r="75">
          <cell r="F75">
            <v>50.963610000000003</v>
          </cell>
          <cell r="G75">
            <v>15.645</v>
          </cell>
          <cell r="I75" t="str">
            <v>PAPA/EPJS</v>
          </cell>
        </row>
        <row r="76">
          <cell r="F76">
            <v>50.829439999999998</v>
          </cell>
          <cell r="G76">
            <v>15.70722</v>
          </cell>
          <cell r="I76" t="str">
            <v>SIERRA/EPJS</v>
          </cell>
        </row>
        <row r="77">
          <cell r="F77">
            <v>50.938330000000001</v>
          </cell>
          <cell r="G77">
            <v>15.90917</v>
          </cell>
          <cell r="I77" t="str">
            <v>WHISKEY/EPJS</v>
          </cell>
        </row>
        <row r="78">
          <cell r="F78">
            <v>50.883890000000001</v>
          </cell>
          <cell r="G78">
            <v>15.811109999999999</v>
          </cell>
          <cell r="I78" t="str">
            <v>ZULU/EPJS</v>
          </cell>
        </row>
        <row r="79">
          <cell r="F79">
            <v>50.801940000000002</v>
          </cell>
          <cell r="G79">
            <v>20.80611</v>
          </cell>
          <cell r="I79" t="str">
            <v>DELTA/EPKA</v>
          </cell>
        </row>
        <row r="80">
          <cell r="F80">
            <v>50.908610000000003</v>
          </cell>
          <cell r="G80">
            <v>20.579719999999998</v>
          </cell>
          <cell r="I80" t="str">
            <v>KILO/EPKA</v>
          </cell>
        </row>
        <row r="81">
          <cell r="F81">
            <v>50.841389999999997</v>
          </cell>
          <cell r="G81">
            <v>20.641940000000002</v>
          </cell>
          <cell r="I81" t="str">
            <v>TANGO/EPKA</v>
          </cell>
        </row>
        <row r="82">
          <cell r="F82">
            <v>50.845559999999999</v>
          </cell>
          <cell r="G82">
            <v>20.857220000000002</v>
          </cell>
          <cell r="I82" t="str">
            <v>WHISKEY/EPKA</v>
          </cell>
        </row>
        <row r="83">
          <cell r="F83">
            <v>50.974719999999998</v>
          </cell>
          <cell r="G83">
            <v>20.660830000000001</v>
          </cell>
          <cell r="I83" t="str">
            <v>ZULU/EPKA</v>
          </cell>
        </row>
        <row r="84">
          <cell r="F84">
            <v>54.011940000000003</v>
          </cell>
          <cell r="G84">
            <v>21.58361</v>
          </cell>
          <cell r="I84" t="str">
            <v>ECHO/EPKE</v>
          </cell>
        </row>
        <row r="85">
          <cell r="F85">
            <v>53.953330000000001</v>
          </cell>
          <cell r="G85">
            <v>21.371390000000002</v>
          </cell>
          <cell r="I85" t="str">
            <v>SIERRA/EPKE</v>
          </cell>
        </row>
        <row r="86">
          <cell r="F86">
            <v>54.025559999999999</v>
          </cell>
          <cell r="G86">
            <v>21.217220000000001</v>
          </cell>
          <cell r="I86" t="str">
            <v>WHISKEY/EPKE</v>
          </cell>
        </row>
        <row r="87">
          <cell r="F87">
            <v>50.264719999999997</v>
          </cell>
          <cell r="G87">
            <v>19.434719999999999</v>
          </cell>
          <cell r="I87" t="str">
            <v>BRAVO/EPKK</v>
          </cell>
        </row>
        <row r="88">
          <cell r="F88">
            <v>49.856940000000002</v>
          </cell>
          <cell r="G88">
            <v>20.141670000000001</v>
          </cell>
          <cell r="I88" t="str">
            <v>DELTA/EPKK</v>
          </cell>
        </row>
        <row r="89">
          <cell r="F89">
            <v>50.041939999999997</v>
          </cell>
          <cell r="G89">
            <v>20.09778</v>
          </cell>
          <cell r="I89" t="str">
            <v>ECHO/EPKK</v>
          </cell>
        </row>
        <row r="90">
          <cell r="F90">
            <v>50.318060000000003</v>
          </cell>
          <cell r="G90">
            <v>19.237220000000001</v>
          </cell>
          <cell r="I90" t="str">
            <v>HOTEL/EPKK</v>
          </cell>
        </row>
        <row r="91">
          <cell r="F91">
            <v>50.15</v>
          </cell>
          <cell r="G91">
            <v>19.633330000000001</v>
          </cell>
          <cell r="I91" t="str">
            <v>INDIA/EPKK</v>
          </cell>
        </row>
        <row r="92">
          <cell r="F92">
            <v>50.05</v>
          </cell>
          <cell r="G92">
            <v>19.8</v>
          </cell>
          <cell r="I92" t="str">
            <v>KILO/EPKK</v>
          </cell>
        </row>
        <row r="93">
          <cell r="F93">
            <v>50.136389999999999</v>
          </cell>
          <cell r="G93">
            <v>20.114439999999998</v>
          </cell>
          <cell r="I93" t="str">
            <v>LIMA/EPKK</v>
          </cell>
        </row>
        <row r="94">
          <cell r="F94">
            <v>50.35</v>
          </cell>
          <cell r="G94">
            <v>20.033329999999999</v>
          </cell>
          <cell r="I94" t="str">
            <v>MIKE/EPKK</v>
          </cell>
        </row>
        <row r="95">
          <cell r="F95">
            <v>50.2</v>
          </cell>
          <cell r="G95">
            <v>19.883330000000001</v>
          </cell>
          <cell r="I95" t="str">
            <v>OSCAR/EPKK</v>
          </cell>
        </row>
        <row r="96">
          <cell r="F96">
            <v>49.910829999999997</v>
          </cell>
          <cell r="G96">
            <v>19.412780000000001</v>
          </cell>
          <cell r="I96" t="str">
            <v>ROMEO/EPKK</v>
          </cell>
        </row>
        <row r="97">
          <cell r="F97">
            <v>49.983330000000002</v>
          </cell>
          <cell r="G97">
            <v>19.816669999999998</v>
          </cell>
          <cell r="I97" t="str">
            <v>SIERRA/EPKK</v>
          </cell>
        </row>
        <row r="98">
          <cell r="F98">
            <v>49.791939999999997</v>
          </cell>
          <cell r="G98">
            <v>19.77806</v>
          </cell>
          <cell r="I98" t="str">
            <v>UNIFORM/EPKK</v>
          </cell>
        </row>
        <row r="99">
          <cell r="F99">
            <v>50.109169999999999</v>
          </cell>
          <cell r="G99">
            <v>19.779440000000001</v>
          </cell>
          <cell r="I99" t="str">
            <v>ZULU/EPKK</v>
          </cell>
        </row>
        <row r="100">
          <cell r="F100">
            <v>50.264719999999997</v>
          </cell>
          <cell r="G100">
            <v>19.434719999999999</v>
          </cell>
          <cell r="I100" t="str">
            <v>BRAVO/EPKM</v>
          </cell>
        </row>
        <row r="101">
          <cell r="F101">
            <v>50.40361</v>
          </cell>
          <cell r="G101">
            <v>19.055</v>
          </cell>
          <cell r="I101" t="str">
            <v>GOLF/EPKM</v>
          </cell>
        </row>
        <row r="102">
          <cell r="F102">
            <v>50.318060000000003</v>
          </cell>
          <cell r="G102">
            <v>19.237220000000001</v>
          </cell>
          <cell r="I102" t="str">
            <v>HOTEL/EPKM</v>
          </cell>
        </row>
        <row r="103">
          <cell r="F103">
            <v>50.178890000000003</v>
          </cell>
          <cell r="G103">
            <v>18.906939999999999</v>
          </cell>
          <cell r="I103" t="str">
            <v>MIKE/EPKM</v>
          </cell>
        </row>
        <row r="104">
          <cell r="F104">
            <v>50.39472</v>
          </cell>
          <cell r="G104">
            <v>18.629169999999998</v>
          </cell>
          <cell r="I104" t="str">
            <v>PAPA/EPKM</v>
          </cell>
        </row>
        <row r="105">
          <cell r="F105">
            <v>50.1325</v>
          </cell>
          <cell r="G105">
            <v>19.024999999999999</v>
          </cell>
          <cell r="I105" t="str">
            <v>SIERRA/EPKM</v>
          </cell>
        </row>
        <row r="106">
          <cell r="F106">
            <v>50.35389</v>
          </cell>
          <cell r="G106">
            <v>18.866389999999999</v>
          </cell>
          <cell r="I106" t="str">
            <v>TANGO/EPKM</v>
          </cell>
        </row>
        <row r="107">
          <cell r="F107">
            <v>50.120280000000001</v>
          </cell>
          <cell r="G107">
            <v>20.378889999999998</v>
          </cell>
          <cell r="I107" t="str">
            <v>NOVEMBER/EPKP</v>
          </cell>
        </row>
        <row r="108">
          <cell r="F108">
            <v>50.021389999999997</v>
          </cell>
          <cell r="G108">
            <v>20.15194</v>
          </cell>
          <cell r="I108" t="str">
            <v>PAPA/EPKP</v>
          </cell>
        </row>
        <row r="109">
          <cell r="F109">
            <v>50.111939999999997</v>
          </cell>
          <cell r="G109">
            <v>20.23556</v>
          </cell>
          <cell r="I109" t="str">
            <v>TANGO/EPKP</v>
          </cell>
        </row>
        <row r="110">
          <cell r="F110">
            <v>50.053060000000002</v>
          </cell>
          <cell r="G110">
            <v>20.329440000000002</v>
          </cell>
          <cell r="I110" t="str">
            <v>ZULU/EPKP</v>
          </cell>
        </row>
        <row r="111">
          <cell r="F111">
            <v>49.762500000000003</v>
          </cell>
          <cell r="G111">
            <v>21.684719999999999</v>
          </cell>
          <cell r="I111" t="str">
            <v>BRAVO/EPKR</v>
          </cell>
        </row>
        <row r="112">
          <cell r="F112">
            <v>49.670279999999998</v>
          </cell>
          <cell r="G112">
            <v>21.88917</v>
          </cell>
          <cell r="I112" t="str">
            <v>HOTEL/EPKR</v>
          </cell>
        </row>
        <row r="113">
          <cell r="F113">
            <v>49.604999999999997</v>
          </cell>
          <cell r="G113">
            <v>21.806940000000001</v>
          </cell>
          <cell r="I113" t="str">
            <v>INDIA/EPKR</v>
          </cell>
        </row>
        <row r="114">
          <cell r="F114">
            <v>49.665559999999999</v>
          </cell>
          <cell r="G114">
            <v>21.61083</v>
          </cell>
          <cell r="I114" t="str">
            <v>KILO/EPKR</v>
          </cell>
        </row>
        <row r="115">
          <cell r="F115">
            <v>50.264719999999997</v>
          </cell>
          <cell r="G115">
            <v>19.434719999999999</v>
          </cell>
          <cell r="I115" t="str">
            <v>BRAVO/EPKT</v>
          </cell>
        </row>
        <row r="116">
          <cell r="F116">
            <v>50.623609999999999</v>
          </cell>
          <cell r="G116">
            <v>18.836110000000001</v>
          </cell>
          <cell r="I116" t="str">
            <v>CHARLIE/EPKT</v>
          </cell>
        </row>
        <row r="117">
          <cell r="F117">
            <v>50.40361</v>
          </cell>
          <cell r="G117">
            <v>19.055</v>
          </cell>
          <cell r="I117" t="str">
            <v>GOLF/EPKT</v>
          </cell>
        </row>
        <row r="118">
          <cell r="F118">
            <v>50.318060000000003</v>
          </cell>
          <cell r="G118">
            <v>19.237220000000001</v>
          </cell>
          <cell r="I118" t="str">
            <v>HOTEL/EPKT</v>
          </cell>
        </row>
        <row r="119">
          <cell r="F119">
            <v>50.15</v>
          </cell>
          <cell r="G119">
            <v>19.633330000000001</v>
          </cell>
          <cell r="I119" t="str">
            <v>INDIA/EPKT</v>
          </cell>
        </row>
        <row r="120">
          <cell r="F120">
            <v>50.671669999999999</v>
          </cell>
          <cell r="G120">
            <v>19.204999999999998</v>
          </cell>
          <cell r="I120" t="str">
            <v>JULIETT/EPKT</v>
          </cell>
        </row>
        <row r="121">
          <cell r="F121">
            <v>50.497219999999999</v>
          </cell>
          <cell r="G121">
            <v>19.079170000000001</v>
          </cell>
          <cell r="I121" t="str">
            <v>NOVEMBER/EPKT</v>
          </cell>
        </row>
        <row r="122">
          <cell r="F122">
            <v>50.35389</v>
          </cell>
          <cell r="G122">
            <v>18.866389999999999</v>
          </cell>
          <cell r="I122" t="str">
            <v>TANGO/EPKT</v>
          </cell>
        </row>
        <row r="123">
          <cell r="F123">
            <v>50.583329999999997</v>
          </cell>
          <cell r="G123">
            <v>19.058330000000002</v>
          </cell>
          <cell r="I123" t="str">
            <v>WHISKEY/EPKT</v>
          </cell>
        </row>
        <row r="124">
          <cell r="F124">
            <v>50.453890000000001</v>
          </cell>
          <cell r="G124">
            <v>19.081389999999999</v>
          </cell>
          <cell r="I124" t="str">
            <v>X-RAY/EPKT</v>
          </cell>
        </row>
        <row r="125">
          <cell r="F125">
            <v>49.966389999999997</v>
          </cell>
          <cell r="G125">
            <v>18.95806</v>
          </cell>
          <cell r="I125" t="str">
            <v>FOXTROT/EPKW</v>
          </cell>
        </row>
        <row r="126">
          <cell r="F126">
            <v>49.873330000000003</v>
          </cell>
          <cell r="G126">
            <v>19.029440000000001</v>
          </cell>
          <cell r="I126" t="str">
            <v>QUEBEC/EPKW</v>
          </cell>
        </row>
        <row r="127">
          <cell r="F127">
            <v>49.914720000000003</v>
          </cell>
          <cell r="G127">
            <v>19.15222</v>
          </cell>
          <cell r="I127" t="str">
            <v>VICTOR/EPKW</v>
          </cell>
        </row>
        <row r="128">
          <cell r="F128">
            <v>51.290280000000003</v>
          </cell>
          <cell r="G128">
            <v>22.703060000000001</v>
          </cell>
          <cell r="I128" t="str">
            <v>CHARLIE/EPLB</v>
          </cell>
        </row>
        <row r="129">
          <cell r="F129">
            <v>51.160559999999997</v>
          </cell>
          <cell r="G129">
            <v>22.94528</v>
          </cell>
          <cell r="I129" t="str">
            <v>ECHO/EPLB</v>
          </cell>
        </row>
        <row r="130">
          <cell r="F130">
            <v>51.200560000000003</v>
          </cell>
          <cell r="G130">
            <v>22.675560000000001</v>
          </cell>
          <cell r="I130" t="str">
            <v>FOXTROT/EPLB</v>
          </cell>
        </row>
        <row r="131">
          <cell r="F131">
            <v>51.378889999999998</v>
          </cell>
          <cell r="G131">
            <v>22.96472</v>
          </cell>
          <cell r="I131" t="str">
            <v>GOLF/EPLB</v>
          </cell>
        </row>
        <row r="132">
          <cell r="F132">
            <v>51.088610000000003</v>
          </cell>
          <cell r="G132">
            <v>22.69</v>
          </cell>
          <cell r="I132" t="str">
            <v>HOTEL/EPLB</v>
          </cell>
        </row>
        <row r="133">
          <cell r="F133">
            <v>51.302219999999998</v>
          </cell>
          <cell r="G133">
            <v>22.586939999999998</v>
          </cell>
          <cell r="I133" t="str">
            <v>INDIA/EPLB</v>
          </cell>
        </row>
        <row r="134">
          <cell r="F134">
            <v>51.22</v>
          </cell>
          <cell r="G134">
            <v>22.759440000000001</v>
          </cell>
          <cell r="I134" t="str">
            <v>MIKE/EPLB</v>
          </cell>
        </row>
        <row r="135">
          <cell r="F135">
            <v>51.275829999999999</v>
          </cell>
          <cell r="G135">
            <v>22.6525</v>
          </cell>
          <cell r="I135" t="str">
            <v>OSCAR/EPLB</v>
          </cell>
        </row>
        <row r="136">
          <cell r="F136">
            <v>51.10472</v>
          </cell>
          <cell r="G136">
            <v>22.49222</v>
          </cell>
          <cell r="I136" t="str">
            <v>X-RAY/EPLB</v>
          </cell>
        </row>
        <row r="137">
          <cell r="F137">
            <v>51.334440000000001</v>
          </cell>
          <cell r="G137">
            <v>22.77722</v>
          </cell>
          <cell r="I137" t="str">
            <v>YANKEE/EPLB</v>
          </cell>
        </row>
        <row r="138">
          <cell r="F138">
            <v>51.731940000000002</v>
          </cell>
          <cell r="G138">
            <v>18.953610000000001</v>
          </cell>
          <cell r="I138" t="str">
            <v>CHARLIE/EPLL</v>
          </cell>
        </row>
        <row r="139">
          <cell r="F139">
            <v>51.8</v>
          </cell>
          <cell r="G139">
            <v>19.636109999999999</v>
          </cell>
          <cell r="I139" t="str">
            <v>ECHO/EPLL</v>
          </cell>
        </row>
        <row r="140">
          <cell r="F140">
            <v>51.690559999999998</v>
          </cell>
          <cell r="G140">
            <v>19.133890000000001</v>
          </cell>
          <cell r="I140" t="str">
            <v>GOLF/EPLL</v>
          </cell>
        </row>
        <row r="141">
          <cell r="F141">
            <v>51.637779999999999</v>
          </cell>
          <cell r="G141">
            <v>19.27139</v>
          </cell>
          <cell r="I141" t="str">
            <v>HOTEL/EPLL</v>
          </cell>
        </row>
        <row r="142">
          <cell r="F142">
            <v>51.728610000000003</v>
          </cell>
          <cell r="G142">
            <v>19.810559999999999</v>
          </cell>
          <cell r="I142" t="str">
            <v>KILO/EPLL</v>
          </cell>
        </row>
        <row r="143">
          <cell r="F143">
            <v>51.809440000000002</v>
          </cell>
          <cell r="G143">
            <v>19.286110000000001</v>
          </cell>
          <cell r="I143" t="str">
            <v>LIMA/EPLL</v>
          </cell>
        </row>
        <row r="144">
          <cell r="F144">
            <v>51.638890000000004</v>
          </cell>
          <cell r="G144">
            <v>19.498609999999999</v>
          </cell>
          <cell r="I144" t="str">
            <v>ROMEO/EPLL</v>
          </cell>
        </row>
        <row r="145">
          <cell r="F145">
            <v>51.690280000000001</v>
          </cell>
          <cell r="G145">
            <v>19.44333</v>
          </cell>
          <cell r="I145" t="str">
            <v>SIERRA/EPLL</v>
          </cell>
        </row>
        <row r="146">
          <cell r="F146">
            <v>51.744439999999997</v>
          </cell>
          <cell r="G146">
            <v>19.12</v>
          </cell>
          <cell r="I146" t="str">
            <v>WHISKEY/EPLL</v>
          </cell>
        </row>
        <row r="147">
          <cell r="F147">
            <v>51.891669999999998</v>
          </cell>
          <cell r="G147">
            <v>19.635000000000002</v>
          </cell>
          <cell r="I147" t="str">
            <v>X-RAY/EPLL</v>
          </cell>
        </row>
        <row r="148">
          <cell r="F148">
            <v>51.748609999999999</v>
          </cell>
          <cell r="G148">
            <v>19.350000000000001</v>
          </cell>
          <cell r="I148" t="str">
            <v>YANKEE/EPLL</v>
          </cell>
        </row>
        <row r="149">
          <cell r="F149">
            <v>51.807499999999997</v>
          </cell>
          <cell r="G149">
            <v>16.649719999999999</v>
          </cell>
          <cell r="I149" t="str">
            <v>ECHO/EPLS</v>
          </cell>
        </row>
        <row r="150">
          <cell r="F150">
            <v>51.918059999999997</v>
          </cell>
          <cell r="G150">
            <v>16.57028</v>
          </cell>
          <cell r="I150" t="str">
            <v>NOVEMBER/EPLS</v>
          </cell>
        </row>
        <row r="151">
          <cell r="F151">
            <v>51.746670000000002</v>
          </cell>
          <cell r="G151">
            <v>16.524439999999998</v>
          </cell>
          <cell r="I151" t="str">
            <v>SIERRA/EPLS</v>
          </cell>
        </row>
        <row r="152">
          <cell r="F152">
            <v>51.856670000000001</v>
          </cell>
          <cell r="G152">
            <v>16.39639</v>
          </cell>
          <cell r="I152" t="str">
            <v>WHISKEY/EPLS</v>
          </cell>
        </row>
        <row r="153">
          <cell r="F153">
            <v>50.276110000000003</v>
          </cell>
          <cell r="G153">
            <v>21.605560000000001</v>
          </cell>
          <cell r="I153" t="str">
            <v>ALFA/EPML</v>
          </cell>
        </row>
        <row r="154">
          <cell r="F154">
            <v>50.176670000000001</v>
          </cell>
          <cell r="G154">
            <v>20.995830000000002</v>
          </cell>
          <cell r="I154" t="str">
            <v>DELTA/EPML</v>
          </cell>
        </row>
        <row r="155">
          <cell r="F155">
            <v>50.382779999999997</v>
          </cell>
          <cell r="G155">
            <v>21.45889</v>
          </cell>
          <cell r="I155" t="str">
            <v>JULIETT/EPML</v>
          </cell>
        </row>
        <row r="156">
          <cell r="F156">
            <v>50.434719999999999</v>
          </cell>
          <cell r="G156">
            <v>21.06</v>
          </cell>
          <cell r="I156" t="str">
            <v>OSCAR/EPML</v>
          </cell>
        </row>
        <row r="157">
          <cell r="F157">
            <v>50.427500000000002</v>
          </cell>
          <cell r="G157">
            <v>21.330559999999998</v>
          </cell>
          <cell r="I157" t="str">
            <v>PAPA/EPML</v>
          </cell>
        </row>
        <row r="158">
          <cell r="F158">
            <v>50.195830000000001</v>
          </cell>
          <cell r="G158">
            <v>21.27694</v>
          </cell>
          <cell r="I158" t="str">
            <v>ROMEO/EPML</v>
          </cell>
        </row>
        <row r="159">
          <cell r="F159">
            <v>50.263330000000003</v>
          </cell>
          <cell r="G159">
            <v>21.45917</v>
          </cell>
          <cell r="I159" t="str">
            <v>SIERRA/EPML</v>
          </cell>
        </row>
        <row r="160">
          <cell r="F160">
            <v>52.549169999999997</v>
          </cell>
          <cell r="G160">
            <v>20.501110000000001</v>
          </cell>
          <cell r="I160" t="str">
            <v>HOTEL/EPMO</v>
          </cell>
        </row>
        <row r="161">
          <cell r="F161">
            <v>52.474440000000001</v>
          </cell>
          <cell r="G161">
            <v>20.648610000000001</v>
          </cell>
          <cell r="I161" t="str">
            <v>INDIA/EPMO</v>
          </cell>
        </row>
        <row r="162">
          <cell r="F162">
            <v>52.377780000000001</v>
          </cell>
          <cell r="G162">
            <v>20.91667</v>
          </cell>
          <cell r="I162" t="str">
            <v>JULIETT/EPMO</v>
          </cell>
        </row>
        <row r="163">
          <cell r="F163">
            <v>52.377780000000001</v>
          </cell>
          <cell r="G163">
            <v>20.18694</v>
          </cell>
          <cell r="I163" t="str">
            <v>QUEBEC/EPMO</v>
          </cell>
        </row>
        <row r="164">
          <cell r="F164">
            <v>52.605829999999997</v>
          </cell>
          <cell r="G164">
            <v>20.399439999999998</v>
          </cell>
          <cell r="I164" t="str">
            <v>SIERRA/EPMO</v>
          </cell>
        </row>
        <row r="165">
          <cell r="F165">
            <v>52.429169999999999</v>
          </cell>
          <cell r="G165">
            <v>20.654170000000001</v>
          </cell>
          <cell r="I165" t="str">
            <v>UNIFORM/EPMO</v>
          </cell>
        </row>
        <row r="166">
          <cell r="F166">
            <v>52.39472</v>
          </cell>
          <cell r="G166">
            <v>20.540559999999999</v>
          </cell>
          <cell r="I166" t="str">
            <v>VICTOR/EPMO</v>
          </cell>
        </row>
        <row r="167">
          <cell r="F167">
            <v>52.58</v>
          </cell>
          <cell r="G167">
            <v>20.773610000000001</v>
          </cell>
          <cell r="I167" t="str">
            <v>YANKEE/EPMO</v>
          </cell>
        </row>
        <row r="168">
          <cell r="F168">
            <v>50.894440000000003</v>
          </cell>
          <cell r="G168">
            <v>16.772780000000001</v>
          </cell>
          <cell r="I168" t="str">
            <v>ALFA/EPMR</v>
          </cell>
        </row>
        <row r="169">
          <cell r="F169">
            <v>50.929720000000003</v>
          </cell>
          <cell r="G169">
            <v>16.90306</v>
          </cell>
          <cell r="I169" t="str">
            <v>ECHO/EPMR</v>
          </cell>
        </row>
        <row r="170">
          <cell r="F170">
            <v>50.977780000000003</v>
          </cell>
          <cell r="G170">
            <v>16.79083</v>
          </cell>
          <cell r="I170" t="str">
            <v>MIKE/EPMR</v>
          </cell>
        </row>
        <row r="171">
          <cell r="F171">
            <v>50.954999999999998</v>
          </cell>
          <cell r="G171">
            <v>16.61694</v>
          </cell>
          <cell r="I171" t="str">
            <v>WHISKEY/EPMR</v>
          </cell>
        </row>
        <row r="172">
          <cell r="F172">
            <v>52.643059999999998</v>
          </cell>
          <cell r="G172">
            <v>20.941669999999998</v>
          </cell>
          <cell r="I172" t="str">
            <v>ALFA/EPNC</v>
          </cell>
        </row>
        <row r="173">
          <cell r="F173">
            <v>52.533059999999999</v>
          </cell>
          <cell r="G173">
            <v>21.081389999999999</v>
          </cell>
          <cell r="I173" t="str">
            <v>BRAVO/EPNC</v>
          </cell>
        </row>
        <row r="174">
          <cell r="F174">
            <v>52.488610000000001</v>
          </cell>
          <cell r="G174">
            <v>20.92361</v>
          </cell>
          <cell r="I174" t="str">
            <v>CHARLIE/EPNC</v>
          </cell>
        </row>
        <row r="175">
          <cell r="F175">
            <v>52.58</v>
          </cell>
          <cell r="G175">
            <v>20.773610000000001</v>
          </cell>
          <cell r="I175" t="str">
            <v>YANKEE/EPNC</v>
          </cell>
        </row>
        <row r="176">
          <cell r="F176">
            <v>49.467219999999998</v>
          </cell>
          <cell r="G176">
            <v>20.22306</v>
          </cell>
          <cell r="I176" t="str">
            <v>ALFA/EPNT</v>
          </cell>
        </row>
        <row r="177">
          <cell r="F177">
            <v>49.378059999999998</v>
          </cell>
          <cell r="G177">
            <v>20.010560000000002</v>
          </cell>
          <cell r="I177" t="str">
            <v>BRAVO/EPNT</v>
          </cell>
        </row>
        <row r="178">
          <cell r="F178">
            <v>49.474170000000001</v>
          </cell>
          <cell r="G178">
            <v>19.9575</v>
          </cell>
          <cell r="I178" t="str">
            <v>CHARLIE/EPNT</v>
          </cell>
        </row>
        <row r="179">
          <cell r="F179">
            <v>49.516669999999998</v>
          </cell>
          <cell r="G179">
            <v>19.98667</v>
          </cell>
          <cell r="I179" t="str">
            <v>DELTA/EPNT</v>
          </cell>
        </row>
        <row r="180">
          <cell r="F180">
            <v>53.835000000000001</v>
          </cell>
          <cell r="G180">
            <v>20.475000000000001</v>
          </cell>
          <cell r="I180" t="str">
            <v>NOVEMBER/EPOD</v>
          </cell>
        </row>
        <row r="181">
          <cell r="F181">
            <v>53.695830000000001</v>
          </cell>
          <cell r="G181">
            <v>20.412780000000001</v>
          </cell>
          <cell r="I181" t="str">
            <v>SIERRA/EPOD</v>
          </cell>
        </row>
        <row r="182">
          <cell r="F182">
            <v>53.747219999999999</v>
          </cell>
          <cell r="G182">
            <v>20.272500000000001</v>
          </cell>
          <cell r="I182" t="str">
            <v>WHISKEY/EPOD</v>
          </cell>
        </row>
        <row r="183">
          <cell r="F183">
            <v>51.703609999999998</v>
          </cell>
          <cell r="G183">
            <v>17.947500000000002</v>
          </cell>
          <cell r="I183" t="str">
            <v>ECHO/EPOM</v>
          </cell>
        </row>
        <row r="184">
          <cell r="F184">
            <v>51.779440000000001</v>
          </cell>
          <cell r="G184">
            <v>17.856940000000002</v>
          </cell>
          <cell r="I184" t="str">
            <v>NOVEMBER/EPOM</v>
          </cell>
        </row>
        <row r="185">
          <cell r="F185">
            <v>51.67306</v>
          </cell>
          <cell r="G185">
            <v>17.7925</v>
          </cell>
          <cell r="I185" t="str">
            <v>SIERRA/EPOM</v>
          </cell>
        </row>
        <row r="186">
          <cell r="F186">
            <v>50.669719999999998</v>
          </cell>
          <cell r="G186">
            <v>17.818059999999999</v>
          </cell>
          <cell r="I186" t="str">
            <v>ALFA/EPOP</v>
          </cell>
        </row>
        <row r="187">
          <cell r="F187">
            <v>50.581940000000003</v>
          </cell>
          <cell r="G187">
            <v>17.829719999999998</v>
          </cell>
          <cell r="I187" t="str">
            <v>BRAVO/EPOP</v>
          </cell>
        </row>
        <row r="188">
          <cell r="F188">
            <v>50.662779999999998</v>
          </cell>
          <cell r="G188">
            <v>17.698609999999999</v>
          </cell>
          <cell r="I188" t="str">
            <v>CHARLIE/EPOP</v>
          </cell>
        </row>
        <row r="189">
          <cell r="F189">
            <v>50.70111</v>
          </cell>
          <cell r="G189">
            <v>17.897780000000001</v>
          </cell>
          <cell r="I189" t="str">
            <v>HOTEL/EPOP</v>
          </cell>
        </row>
        <row r="190">
          <cell r="F190">
            <v>50.529719999999998</v>
          </cell>
          <cell r="G190">
            <v>17.91722</v>
          </cell>
          <cell r="I190" t="str">
            <v>INDIA/EPOP</v>
          </cell>
        </row>
        <row r="191">
          <cell r="F191">
            <v>50.691940000000002</v>
          </cell>
          <cell r="G191">
            <v>17.639720000000001</v>
          </cell>
          <cell r="I191" t="str">
            <v>KILO/EPOP</v>
          </cell>
        </row>
        <row r="192">
          <cell r="F192">
            <v>52.57611</v>
          </cell>
          <cell r="G192">
            <v>17.009440000000001</v>
          </cell>
          <cell r="I192" t="str">
            <v>ALFA/EPPB</v>
          </cell>
        </row>
        <row r="193">
          <cell r="F193">
            <v>52.521389999999997</v>
          </cell>
          <cell r="G193">
            <v>17.136109999999999</v>
          </cell>
          <cell r="I193" t="str">
            <v>BRAVO/EPPB</v>
          </cell>
        </row>
        <row r="194">
          <cell r="F194">
            <v>52.6325</v>
          </cell>
          <cell r="G194">
            <v>17.428609999999999</v>
          </cell>
          <cell r="I194" t="str">
            <v>LIMA/EPPB</v>
          </cell>
        </row>
        <row r="195">
          <cell r="F195">
            <v>52.67389</v>
          </cell>
          <cell r="G195">
            <v>17.15278</v>
          </cell>
          <cell r="I195" t="str">
            <v>OSCAR/EPPB</v>
          </cell>
        </row>
        <row r="196">
          <cell r="F196">
            <v>52.479170000000003</v>
          </cell>
          <cell r="G196">
            <v>17.27722</v>
          </cell>
          <cell r="I196" t="str">
            <v>PAPA/EPPB</v>
          </cell>
        </row>
        <row r="197">
          <cell r="F197">
            <v>52.57611</v>
          </cell>
          <cell r="G197">
            <v>17.009440000000001</v>
          </cell>
          <cell r="I197" t="str">
            <v>ALFA/EPPK</v>
          </cell>
        </row>
        <row r="198">
          <cell r="F198">
            <v>52.521389999999997</v>
          </cell>
          <cell r="G198">
            <v>17.136109999999999</v>
          </cell>
          <cell r="I198" t="str">
            <v>BRAVO/EPPK</v>
          </cell>
        </row>
        <row r="199">
          <cell r="F199">
            <v>52.479170000000003</v>
          </cell>
          <cell r="G199">
            <v>17.27722</v>
          </cell>
          <cell r="I199" t="str">
            <v>PAPA/EPPK</v>
          </cell>
        </row>
        <row r="200">
          <cell r="F200">
            <v>52.393329999999999</v>
          </cell>
          <cell r="G200">
            <v>17.224440000000001</v>
          </cell>
          <cell r="I200" t="str">
            <v>SIERRA/EPPK</v>
          </cell>
        </row>
        <row r="201">
          <cell r="F201">
            <v>52.453060000000001</v>
          </cell>
          <cell r="G201">
            <v>16.98</v>
          </cell>
          <cell r="I201" t="str">
            <v>TANGO/EPPK</v>
          </cell>
        </row>
        <row r="202">
          <cell r="F202">
            <v>52.505830000000003</v>
          </cell>
          <cell r="G202">
            <v>19.836670000000002</v>
          </cell>
          <cell r="I202" t="str">
            <v>ECHO/EPPL</v>
          </cell>
        </row>
        <row r="203">
          <cell r="F203">
            <v>52.606389999999998</v>
          </cell>
          <cell r="G203">
            <v>19.796109999999999</v>
          </cell>
          <cell r="I203" t="str">
            <v>NOVEMBER/EPPL</v>
          </cell>
        </row>
        <row r="204">
          <cell r="F204">
            <v>52.570830000000001</v>
          </cell>
          <cell r="G204">
            <v>19.61167</v>
          </cell>
          <cell r="I204" t="str">
            <v>WHISKEY/EPPL</v>
          </cell>
        </row>
        <row r="205">
          <cell r="F205">
            <v>52.503329999999998</v>
          </cell>
          <cell r="G205">
            <v>16.768059999999998</v>
          </cell>
          <cell r="I205" t="str">
            <v>DELTA/EPPO</v>
          </cell>
        </row>
        <row r="206">
          <cell r="F206">
            <v>52.397500000000001</v>
          </cell>
          <cell r="G206">
            <v>16.858059999999998</v>
          </cell>
          <cell r="I206" t="str">
            <v>FOXTROT/EPPO</v>
          </cell>
        </row>
        <row r="207">
          <cell r="F207">
            <v>52.432220000000001</v>
          </cell>
          <cell r="G207">
            <v>16.84667</v>
          </cell>
          <cell r="I207" t="str">
            <v>GOLF/EPPO</v>
          </cell>
        </row>
        <row r="208">
          <cell r="F208">
            <v>52.441670000000002</v>
          </cell>
          <cell r="G208">
            <v>16.797219999999999</v>
          </cell>
          <cell r="I208" t="str">
            <v>HOTEL/EPPO</v>
          </cell>
        </row>
        <row r="209">
          <cell r="F209">
            <v>52.411389999999997</v>
          </cell>
          <cell r="G209">
            <v>16.793610000000001</v>
          </cell>
          <cell r="I209" t="str">
            <v>INDIA/EPPO</v>
          </cell>
        </row>
        <row r="210">
          <cell r="F210">
            <v>52.407780000000002</v>
          </cell>
          <cell r="G210">
            <v>16.725829999999998</v>
          </cell>
          <cell r="I210" t="str">
            <v>JULIETT/EPPO</v>
          </cell>
        </row>
        <row r="211">
          <cell r="F211">
            <v>52.511389999999999</v>
          </cell>
          <cell r="G211">
            <v>16.974720000000001</v>
          </cell>
          <cell r="I211" t="str">
            <v>QUEBEC/EPPO</v>
          </cell>
        </row>
        <row r="212">
          <cell r="F212">
            <v>52.453060000000001</v>
          </cell>
          <cell r="G212">
            <v>16.98</v>
          </cell>
          <cell r="I212" t="str">
            <v>TANGO/EPPO</v>
          </cell>
        </row>
        <row r="213">
          <cell r="F213">
            <v>52.3675</v>
          </cell>
          <cell r="G213">
            <v>16.860279999999999</v>
          </cell>
          <cell r="I213" t="str">
            <v>UNIFORM/EPPO</v>
          </cell>
        </row>
        <row r="214">
          <cell r="F214">
            <v>52.47222</v>
          </cell>
          <cell r="G214">
            <v>16.790559999999999</v>
          </cell>
          <cell r="I214" t="str">
            <v>VICTOR/EPPO</v>
          </cell>
        </row>
        <row r="215">
          <cell r="F215">
            <v>52.395829999999997</v>
          </cell>
          <cell r="G215">
            <v>16.607500000000002</v>
          </cell>
          <cell r="I215" t="str">
            <v>X-RAY/EPPO</v>
          </cell>
        </row>
        <row r="216">
          <cell r="F216">
            <v>52.46472</v>
          </cell>
          <cell r="G216">
            <v>16.88861</v>
          </cell>
          <cell r="I216" t="str">
            <v>YANKEE/EPPO</v>
          </cell>
        </row>
        <row r="217">
          <cell r="F217">
            <v>51.35472</v>
          </cell>
          <cell r="G217">
            <v>19.81944</v>
          </cell>
          <cell r="I217" t="str">
            <v>ECHO/EPPT</v>
          </cell>
        </row>
        <row r="218">
          <cell r="F218">
            <v>51.215829999999997</v>
          </cell>
          <cell r="G218">
            <v>19.59694</v>
          </cell>
          <cell r="I218" t="str">
            <v>FOXTROT/EPPT</v>
          </cell>
        </row>
        <row r="219">
          <cell r="F219">
            <v>51.44361</v>
          </cell>
          <cell r="G219">
            <v>19.723330000000001</v>
          </cell>
          <cell r="I219" t="str">
            <v>NOVEMBER/EPPT</v>
          </cell>
        </row>
        <row r="220">
          <cell r="F220">
            <v>51.190559999999998</v>
          </cell>
          <cell r="G220">
            <v>19.856670000000001</v>
          </cell>
          <cell r="I220" t="str">
            <v>ROMEO/EPPT</v>
          </cell>
        </row>
        <row r="221">
          <cell r="F221">
            <v>51.299439999999997</v>
          </cell>
          <cell r="G221">
            <v>19.658609999999999</v>
          </cell>
          <cell r="I221" t="str">
            <v>SIERRA/EPPT</v>
          </cell>
        </row>
        <row r="222">
          <cell r="F222">
            <v>51.41</v>
          </cell>
          <cell r="G222">
            <v>19.634720000000002</v>
          </cell>
          <cell r="I222" t="str">
            <v>WHISKEY/EPPT</v>
          </cell>
        </row>
        <row r="223">
          <cell r="F223">
            <v>51.247219999999999</v>
          </cell>
          <cell r="G223">
            <v>21.238890000000001</v>
          </cell>
          <cell r="I223" t="str">
            <v>BRAVO/EPRA</v>
          </cell>
        </row>
        <row r="224">
          <cell r="F224">
            <v>51.243609999999997</v>
          </cell>
          <cell r="G224">
            <v>21.58417</v>
          </cell>
          <cell r="I224" t="str">
            <v>CHARLIE/EPRA</v>
          </cell>
        </row>
        <row r="225">
          <cell r="F225">
            <v>51.537500000000001</v>
          </cell>
          <cell r="G225">
            <v>21.398890000000002</v>
          </cell>
          <cell r="I225" t="str">
            <v>FOXTROT/EPRA</v>
          </cell>
        </row>
        <row r="226">
          <cell r="F226">
            <v>51.342779999999998</v>
          </cell>
          <cell r="G226">
            <v>21.226669999999999</v>
          </cell>
          <cell r="I226" t="str">
            <v>HOTEL/EPRA</v>
          </cell>
        </row>
        <row r="227">
          <cell r="F227">
            <v>51.236109999999996</v>
          </cell>
          <cell r="G227">
            <v>20.873889999999999</v>
          </cell>
          <cell r="I227" t="str">
            <v>INDIA/EPRA</v>
          </cell>
        </row>
        <row r="228">
          <cell r="F228">
            <v>51.362780000000001</v>
          </cell>
          <cell r="G228">
            <v>20.7775</v>
          </cell>
          <cell r="I228" t="str">
            <v>JULIETT/EPRA</v>
          </cell>
        </row>
        <row r="229">
          <cell r="F229">
            <v>51.443060000000003</v>
          </cell>
          <cell r="G229">
            <v>21.2</v>
          </cell>
          <cell r="I229" t="str">
            <v>NOVEMBER/EPRA</v>
          </cell>
        </row>
        <row r="230">
          <cell r="F230">
            <v>51.403329999999997</v>
          </cell>
          <cell r="G230">
            <v>21.088889999999999</v>
          </cell>
          <cell r="I230" t="str">
            <v>ROMEO/EPRA</v>
          </cell>
        </row>
        <row r="231">
          <cell r="F231">
            <v>51.295000000000002</v>
          </cell>
          <cell r="G231">
            <v>21.246390000000002</v>
          </cell>
          <cell r="I231" t="str">
            <v>SIERRA/EPRA</v>
          </cell>
        </row>
        <row r="232">
          <cell r="F232">
            <v>51.358609999999999</v>
          </cell>
          <cell r="G232">
            <v>21.565560000000001</v>
          </cell>
          <cell r="I232" t="str">
            <v>ZULU/EPRA</v>
          </cell>
        </row>
        <row r="233">
          <cell r="F233">
            <v>50.087780000000002</v>
          </cell>
          <cell r="G233">
            <v>18.586939999999998</v>
          </cell>
          <cell r="I233" t="str">
            <v>ALFA/EPRG</v>
          </cell>
        </row>
        <row r="234">
          <cell r="F234">
            <v>50.081940000000003</v>
          </cell>
          <cell r="G234">
            <v>18.663329999999998</v>
          </cell>
          <cell r="I234" t="str">
            <v>BRAVO/EPRG</v>
          </cell>
        </row>
        <row r="235">
          <cell r="F235">
            <v>50.052779999999998</v>
          </cell>
          <cell r="G235">
            <v>18.64528</v>
          </cell>
          <cell r="I235" t="str">
            <v>CHARLIE/EPRG</v>
          </cell>
        </row>
        <row r="236">
          <cell r="F236">
            <v>51.56917</v>
          </cell>
          <cell r="G236">
            <v>21.021940000000001</v>
          </cell>
          <cell r="I236" t="str">
            <v>DELTA/EPRP</v>
          </cell>
        </row>
        <row r="237">
          <cell r="F237">
            <v>51.440559999999998</v>
          </cell>
          <cell r="G237">
            <v>20.995560000000001</v>
          </cell>
          <cell r="I237" t="str">
            <v>GOLF/EPRP</v>
          </cell>
        </row>
        <row r="238">
          <cell r="F238">
            <v>51.443060000000003</v>
          </cell>
          <cell r="G238">
            <v>21.2</v>
          </cell>
          <cell r="I238" t="str">
            <v>NOVEMBER/EPRP</v>
          </cell>
        </row>
        <row r="239">
          <cell r="F239">
            <v>51.466670000000001</v>
          </cell>
          <cell r="G239">
            <v>20.905560000000001</v>
          </cell>
          <cell r="I239" t="str">
            <v>TANGO/EPRP</v>
          </cell>
        </row>
        <row r="240">
          <cell r="F240">
            <v>51.51361</v>
          </cell>
          <cell r="G240">
            <v>21.115829999999999</v>
          </cell>
          <cell r="I240" t="str">
            <v>WHISKEY/EPRP</v>
          </cell>
        </row>
        <row r="241">
          <cell r="F241">
            <v>50.921669999999999</v>
          </cell>
          <cell r="G241">
            <v>19.356670000000001</v>
          </cell>
          <cell r="I241" t="str">
            <v>ECHO/EPRU</v>
          </cell>
        </row>
        <row r="242">
          <cell r="F242">
            <v>50.966670000000001</v>
          </cell>
          <cell r="G242">
            <v>19.27722</v>
          </cell>
          <cell r="I242" t="str">
            <v>NOVEMBER/EPRU</v>
          </cell>
        </row>
        <row r="243">
          <cell r="F243">
            <v>50.828609999999998</v>
          </cell>
          <cell r="G243">
            <v>19.289719999999999</v>
          </cell>
          <cell r="I243" t="str">
            <v>SIERRA/EPRU</v>
          </cell>
        </row>
        <row r="244">
          <cell r="F244">
            <v>50.902500000000003</v>
          </cell>
          <cell r="G244">
            <v>19.067499999999999</v>
          </cell>
          <cell r="I244" t="str">
            <v>WHISKEY/EPRU</v>
          </cell>
        </row>
        <row r="245">
          <cell r="F245">
            <v>49.983890000000002</v>
          </cell>
          <cell r="G245">
            <v>21.94444</v>
          </cell>
          <cell r="I245" t="str">
            <v>BRAVO/EPRZ</v>
          </cell>
        </row>
        <row r="246">
          <cell r="F246">
            <v>49.983890000000002</v>
          </cell>
          <cell r="G246">
            <v>22.401389999999999</v>
          </cell>
          <cell r="I246" t="str">
            <v>GOLF/EPRZ</v>
          </cell>
        </row>
        <row r="247">
          <cell r="F247">
            <v>50.019440000000003</v>
          </cell>
          <cell r="G247">
            <v>22.259440000000001</v>
          </cell>
          <cell r="I247" t="str">
            <v>HOTEL/EPRZ</v>
          </cell>
        </row>
        <row r="248">
          <cell r="F248">
            <v>50.246110000000002</v>
          </cell>
          <cell r="G248">
            <v>21.786670000000001</v>
          </cell>
          <cell r="I248" t="str">
            <v>KILO/EPRZ</v>
          </cell>
        </row>
        <row r="249">
          <cell r="F249">
            <v>50.249169999999999</v>
          </cell>
          <cell r="G249">
            <v>22.121939999999999</v>
          </cell>
          <cell r="I249" t="str">
            <v>MIKE/EPRZ</v>
          </cell>
        </row>
        <row r="250">
          <cell r="F250">
            <v>50.166670000000003</v>
          </cell>
          <cell r="G250">
            <v>22.033329999999999</v>
          </cell>
          <cell r="I250" t="str">
            <v>NOVEMBER/EPRZ</v>
          </cell>
        </row>
        <row r="251">
          <cell r="F251">
            <v>50.039169999999999</v>
          </cell>
          <cell r="G251">
            <v>22.06917</v>
          </cell>
          <cell r="I251" t="str">
            <v>QUEBEC/EPRZ</v>
          </cell>
        </row>
        <row r="252">
          <cell r="F252">
            <v>49.97278</v>
          </cell>
          <cell r="G252">
            <v>22.03389</v>
          </cell>
          <cell r="I252" t="str">
            <v>TANGO/EPRZ</v>
          </cell>
        </row>
        <row r="253">
          <cell r="F253">
            <v>50.064439999999998</v>
          </cell>
          <cell r="G253">
            <v>21.731110000000001</v>
          </cell>
          <cell r="I253" t="str">
            <v>WHISKEY/EPRZ</v>
          </cell>
        </row>
        <row r="254">
          <cell r="F254">
            <v>50.065829999999998</v>
          </cell>
          <cell r="G254">
            <v>21.927219999999998</v>
          </cell>
          <cell r="I254" t="str">
            <v>YANKEE/EPRZ</v>
          </cell>
        </row>
        <row r="255">
          <cell r="F255">
            <v>53.540559999999999</v>
          </cell>
          <cell r="G255">
            <v>14.78722</v>
          </cell>
          <cell r="I255" t="str">
            <v>INDIA/EPSC</v>
          </cell>
        </row>
        <row r="256">
          <cell r="F256">
            <v>53.601669999999999</v>
          </cell>
          <cell r="G256">
            <v>14.964169999999999</v>
          </cell>
          <cell r="I256" t="str">
            <v>NOVEMBER/EPSC</v>
          </cell>
        </row>
        <row r="257">
          <cell r="F257">
            <v>53.651110000000003</v>
          </cell>
          <cell r="G257">
            <v>15.066940000000001</v>
          </cell>
          <cell r="I257" t="str">
            <v>ROMEO/EPSC</v>
          </cell>
        </row>
        <row r="258">
          <cell r="F258">
            <v>53.567779999999999</v>
          </cell>
          <cell r="G258">
            <v>14.84694</v>
          </cell>
          <cell r="I258" t="str">
            <v>SIERRA/EPSC</v>
          </cell>
        </row>
        <row r="259">
          <cell r="F259">
            <v>53.400280000000002</v>
          </cell>
          <cell r="G259">
            <v>14.57694</v>
          </cell>
          <cell r="I259" t="str">
            <v>ALFA/EPSD</v>
          </cell>
        </row>
        <row r="260">
          <cell r="F260">
            <v>53.405830000000002</v>
          </cell>
          <cell r="G260">
            <v>14.665279999999999</v>
          </cell>
          <cell r="I260" t="str">
            <v>BRAVO/EPSD</v>
          </cell>
        </row>
        <row r="261">
          <cell r="F261">
            <v>53.390279999999997</v>
          </cell>
          <cell r="G261">
            <v>14.69528</v>
          </cell>
          <cell r="I261" t="str">
            <v>CHARLIE/EPSD</v>
          </cell>
        </row>
        <row r="262">
          <cell r="F262">
            <v>53.37444</v>
          </cell>
          <cell r="G262">
            <v>14.59694</v>
          </cell>
          <cell r="I262" t="str">
            <v>DELTA/EPSD</v>
          </cell>
        </row>
        <row r="263">
          <cell r="F263">
            <v>53.372500000000002</v>
          </cell>
          <cell r="G263">
            <v>14.86361</v>
          </cell>
          <cell r="I263" t="str">
            <v>PAPA/EPSD</v>
          </cell>
        </row>
        <row r="264">
          <cell r="F264">
            <v>54.374720000000003</v>
          </cell>
          <cell r="G264">
            <v>17.151109999999999</v>
          </cell>
          <cell r="I264" t="str">
            <v>DELTA/EPSK</v>
          </cell>
        </row>
        <row r="265">
          <cell r="F265">
            <v>54.368609999999997</v>
          </cell>
          <cell r="G265">
            <v>17.023060000000001</v>
          </cell>
          <cell r="I265" t="str">
            <v>KILO/EPSK</v>
          </cell>
        </row>
        <row r="266">
          <cell r="F266">
            <v>54.424999999999997</v>
          </cell>
          <cell r="G266">
            <v>17.00722</v>
          </cell>
          <cell r="I266" t="str">
            <v>LIMA/EPSK</v>
          </cell>
        </row>
        <row r="267">
          <cell r="F267">
            <v>54.456940000000003</v>
          </cell>
          <cell r="G267">
            <v>17.210280000000001</v>
          </cell>
          <cell r="I267" t="str">
            <v>MIKE/EPSK</v>
          </cell>
        </row>
        <row r="268">
          <cell r="F268">
            <v>50.567500000000003</v>
          </cell>
          <cell r="G268">
            <v>21.877500000000001</v>
          </cell>
          <cell r="I268" t="str">
            <v>GOLF/EPST</v>
          </cell>
        </row>
        <row r="269">
          <cell r="F269">
            <v>50.698329999999999</v>
          </cell>
          <cell r="G269">
            <v>22.08306</v>
          </cell>
          <cell r="I269" t="str">
            <v>LIMA/EPST</v>
          </cell>
        </row>
        <row r="270">
          <cell r="F270">
            <v>50.665559999999999</v>
          </cell>
          <cell r="G270">
            <v>21.86722</v>
          </cell>
          <cell r="I270" t="str">
            <v>MIKE/EPST</v>
          </cell>
        </row>
        <row r="271">
          <cell r="F271">
            <v>50.579439999999998</v>
          </cell>
          <cell r="G271">
            <v>22.11917</v>
          </cell>
          <cell r="I271" t="str">
            <v>PAPA/EPST</v>
          </cell>
        </row>
        <row r="272">
          <cell r="F272">
            <v>54.17</v>
          </cell>
          <cell r="G272">
            <v>22.93111</v>
          </cell>
          <cell r="I272" t="str">
            <v>NOVEMBER/EPSU</v>
          </cell>
        </row>
        <row r="273">
          <cell r="F273">
            <v>53.935830000000003</v>
          </cell>
          <cell r="G273">
            <v>22.97861</v>
          </cell>
          <cell r="I273" t="str">
            <v>SIERRA/EPSU</v>
          </cell>
        </row>
        <row r="274">
          <cell r="F274">
            <v>54.093330000000002</v>
          </cell>
          <cell r="G274">
            <v>22.650559999999999</v>
          </cell>
          <cell r="I274" t="str">
            <v>WHISKEY/EPSU</v>
          </cell>
        </row>
        <row r="275">
          <cell r="F275">
            <v>53.544440000000002</v>
          </cell>
          <cell r="G275">
            <v>20.82028</v>
          </cell>
          <cell r="I275" t="str">
            <v>BRAVO/EPSY</v>
          </cell>
        </row>
        <row r="276">
          <cell r="F276">
            <v>53.254440000000002</v>
          </cell>
          <cell r="G276">
            <v>20.897780000000001</v>
          </cell>
          <cell r="I276" t="str">
            <v>CHARLIE/EPSY</v>
          </cell>
        </row>
        <row r="277">
          <cell r="F277">
            <v>53.702779999999997</v>
          </cell>
          <cell r="G277">
            <v>20.960830000000001</v>
          </cell>
          <cell r="I277" t="str">
            <v>DELTA/EPSY</v>
          </cell>
        </row>
        <row r="278">
          <cell r="F278">
            <v>53.473889999999997</v>
          </cell>
          <cell r="G278">
            <v>20.967500000000001</v>
          </cell>
          <cell r="I278" t="str">
            <v>ECHO/EPSY</v>
          </cell>
        </row>
        <row r="279">
          <cell r="F279">
            <v>53.449719999999999</v>
          </cell>
          <cell r="G279">
            <v>20.59722</v>
          </cell>
          <cell r="I279" t="str">
            <v>KILO/EPSY</v>
          </cell>
        </row>
        <row r="280">
          <cell r="F280">
            <v>53.359720000000003</v>
          </cell>
          <cell r="G280">
            <v>20.429169999999999</v>
          </cell>
          <cell r="I280" t="str">
            <v>NOVEMBER/EPSY</v>
          </cell>
        </row>
        <row r="281">
          <cell r="F281">
            <v>53.501939999999998</v>
          </cell>
          <cell r="G281">
            <v>20.898610000000001</v>
          </cell>
          <cell r="I281" t="str">
            <v>WHISKEY/EPSY</v>
          </cell>
        </row>
        <row r="282">
          <cell r="F282">
            <v>53.420279999999998</v>
          </cell>
          <cell r="G282">
            <v>21.11806</v>
          </cell>
          <cell r="I282" t="str">
            <v>ZULU/EPSY</v>
          </cell>
        </row>
        <row r="283">
          <cell r="F283">
            <v>53.086390000000002</v>
          </cell>
          <cell r="G283">
            <v>18.619720000000001</v>
          </cell>
          <cell r="I283" t="str">
            <v>ALFA/EPTO</v>
          </cell>
        </row>
        <row r="284">
          <cell r="F284">
            <v>53.005279999999999</v>
          </cell>
          <cell r="G284">
            <v>18.601939999999999</v>
          </cell>
          <cell r="I284" t="str">
            <v>BRAVO/EPTO</v>
          </cell>
        </row>
        <row r="285">
          <cell r="F285">
            <v>52.994999999999997</v>
          </cell>
          <cell r="G285">
            <v>18.733889999999999</v>
          </cell>
          <cell r="I285" t="str">
            <v>DELTA/EPTO</v>
          </cell>
        </row>
        <row r="286">
          <cell r="F286">
            <v>52.992220000000003</v>
          </cell>
          <cell r="G286">
            <v>18.44528</v>
          </cell>
          <cell r="I286" t="str">
            <v>FOXTROT/EPTO</v>
          </cell>
        </row>
        <row r="287">
          <cell r="F287">
            <v>52.063330000000001</v>
          </cell>
          <cell r="G287">
            <v>20.74333</v>
          </cell>
          <cell r="I287" t="str">
            <v>ALFA/EPWA</v>
          </cell>
        </row>
        <row r="288">
          <cell r="F288">
            <v>52.184170000000002</v>
          </cell>
          <cell r="G288">
            <v>20.613890000000001</v>
          </cell>
          <cell r="I288" t="str">
            <v>BRAVO/EPWA</v>
          </cell>
        </row>
        <row r="289">
          <cell r="F289">
            <v>52.343330000000002</v>
          </cell>
          <cell r="G289">
            <v>21.227779999999999</v>
          </cell>
          <cell r="I289" t="str">
            <v>DELTA/EPWA</v>
          </cell>
        </row>
        <row r="290">
          <cell r="F290">
            <v>52.181669999999997</v>
          </cell>
          <cell r="G290">
            <v>20.98611</v>
          </cell>
          <cell r="I290" t="str">
            <v>ECHO/EPWA</v>
          </cell>
        </row>
        <row r="291">
          <cell r="F291">
            <v>52.260829999999999</v>
          </cell>
          <cell r="G291">
            <v>20.73556</v>
          </cell>
          <cell r="I291" t="str">
            <v>FOXTROT/EPWA</v>
          </cell>
        </row>
        <row r="292">
          <cell r="F292">
            <v>51.990830000000003</v>
          </cell>
          <cell r="G292">
            <v>21.234719999999999</v>
          </cell>
          <cell r="I292" t="str">
            <v>GOLF/EPWA</v>
          </cell>
        </row>
        <row r="293">
          <cell r="F293">
            <v>52.377780000000001</v>
          </cell>
          <cell r="G293">
            <v>20.91667</v>
          </cell>
          <cell r="I293" t="str">
            <v>JULIETT/EPWA</v>
          </cell>
        </row>
        <row r="294">
          <cell r="F294">
            <v>52.091389999999997</v>
          </cell>
          <cell r="G294">
            <v>21.237500000000001</v>
          </cell>
          <cell r="I294" t="str">
            <v>KILO/EPWA</v>
          </cell>
        </row>
        <row r="295">
          <cell r="F295">
            <v>52.344439999999999</v>
          </cell>
          <cell r="G295">
            <v>20.920829999999999</v>
          </cell>
          <cell r="I295" t="str">
            <v>LUQIQ/EPWA</v>
          </cell>
        </row>
        <row r="296">
          <cell r="F296">
            <v>52.22278</v>
          </cell>
          <cell r="G296">
            <v>21.25</v>
          </cell>
          <cell r="I296" t="str">
            <v>MIKE/EPWA</v>
          </cell>
        </row>
        <row r="297">
          <cell r="F297">
            <v>52.259169999999997</v>
          </cell>
          <cell r="G297">
            <v>20.657219999999999</v>
          </cell>
          <cell r="I297" t="str">
            <v>MULZA/EPWA</v>
          </cell>
        </row>
        <row r="298">
          <cell r="F298">
            <v>52.217500000000001</v>
          </cell>
          <cell r="G298">
            <v>21.09722</v>
          </cell>
          <cell r="I298" t="str">
            <v>NOVEMBER/EPWA</v>
          </cell>
        </row>
        <row r="299">
          <cell r="F299">
            <v>52.197499999999998</v>
          </cell>
          <cell r="G299">
            <v>21.051670000000001</v>
          </cell>
          <cell r="I299" t="str">
            <v>OSCAR/EPWA</v>
          </cell>
        </row>
        <row r="300">
          <cell r="F300">
            <v>52.304720000000003</v>
          </cell>
          <cell r="G300">
            <v>21.08389</v>
          </cell>
          <cell r="I300" t="str">
            <v>PAPA/EPWA</v>
          </cell>
        </row>
        <row r="301">
          <cell r="F301">
            <v>52.134999999999998</v>
          </cell>
          <cell r="G301">
            <v>20.88944</v>
          </cell>
          <cell r="I301" t="str">
            <v>ROMEO/EPWA</v>
          </cell>
        </row>
        <row r="302">
          <cell r="F302">
            <v>51.970559999999999</v>
          </cell>
          <cell r="G302">
            <v>20.83361</v>
          </cell>
          <cell r="I302" t="str">
            <v>TANGO/EPWA</v>
          </cell>
        </row>
        <row r="303">
          <cell r="F303">
            <v>52.156939999999999</v>
          </cell>
          <cell r="G303">
            <v>20.949719999999999</v>
          </cell>
          <cell r="I303" t="str">
            <v>WHISKEY/EPWA</v>
          </cell>
        </row>
        <row r="304">
          <cell r="F304">
            <v>52.108609999999999</v>
          </cell>
          <cell r="G304">
            <v>20.830829999999999</v>
          </cell>
          <cell r="I304" t="str">
            <v>X-RAY/EPWA</v>
          </cell>
        </row>
        <row r="305">
          <cell r="F305">
            <v>52.290280000000003</v>
          </cell>
          <cell r="G305">
            <v>21.010829999999999</v>
          </cell>
          <cell r="I305" t="str">
            <v>ZULU/EPWA</v>
          </cell>
        </row>
        <row r="306">
          <cell r="F306">
            <v>52.533329999999999</v>
          </cell>
          <cell r="G306">
            <v>19.137219999999999</v>
          </cell>
          <cell r="I306" t="str">
            <v>ECHO/EPWK</v>
          </cell>
        </row>
        <row r="307">
          <cell r="F307">
            <v>52.656939999999999</v>
          </cell>
          <cell r="G307">
            <v>19.133890000000001</v>
          </cell>
          <cell r="I307" t="str">
            <v>NOVEMBER/EPWK</v>
          </cell>
        </row>
        <row r="308">
          <cell r="F308">
            <v>52.474719999999998</v>
          </cell>
          <cell r="G308">
            <v>18.884720000000002</v>
          </cell>
          <cell r="I308" t="str">
            <v>SIERRA/EPWK</v>
          </cell>
        </row>
        <row r="309">
          <cell r="F309">
            <v>52.60389</v>
          </cell>
          <cell r="G309">
            <v>18.886939999999999</v>
          </cell>
          <cell r="I309" t="str">
            <v>WHISKEY/EPWK</v>
          </cell>
        </row>
        <row r="310">
          <cell r="F310">
            <v>50.989440000000002</v>
          </cell>
          <cell r="G310">
            <v>16.83417</v>
          </cell>
          <cell r="I310" t="str">
            <v>GOLF/EPWR</v>
          </cell>
        </row>
        <row r="311">
          <cell r="F311">
            <v>51.04833</v>
          </cell>
          <cell r="G311">
            <v>16.613330000000001</v>
          </cell>
          <cell r="I311" t="str">
            <v>KILO/EPWR</v>
          </cell>
        </row>
        <row r="312">
          <cell r="F312">
            <v>51.125830000000001</v>
          </cell>
          <cell r="G312">
            <v>16.90306</v>
          </cell>
          <cell r="I312" t="str">
            <v>NOVEMBER/EPWR</v>
          </cell>
        </row>
        <row r="313">
          <cell r="F313">
            <v>51.155560000000001</v>
          </cell>
          <cell r="G313">
            <v>16.95889</v>
          </cell>
          <cell r="I313" t="str">
            <v>ROMEO/EPWR</v>
          </cell>
        </row>
        <row r="314">
          <cell r="F314">
            <v>51.075000000000003</v>
          </cell>
          <cell r="G314">
            <v>16.883890000000001</v>
          </cell>
          <cell r="I314" t="str">
            <v>SIERRA/EPWR</v>
          </cell>
        </row>
        <row r="315">
          <cell r="F315">
            <v>51.25</v>
          </cell>
          <cell r="G315">
            <v>16.841670000000001</v>
          </cell>
          <cell r="I315" t="str">
            <v>ZULU/EPWR</v>
          </cell>
        </row>
        <row r="316">
          <cell r="F316">
            <v>51.18</v>
          </cell>
          <cell r="G316">
            <v>17.192499999999999</v>
          </cell>
          <cell r="I316" t="str">
            <v>DELTA/EPWS</v>
          </cell>
        </row>
        <row r="317">
          <cell r="F317">
            <v>51.29833</v>
          </cell>
          <cell r="G317">
            <v>16.90944</v>
          </cell>
          <cell r="I317" t="str">
            <v>OSCAR/EPWS</v>
          </cell>
        </row>
        <row r="318">
          <cell r="F318">
            <v>51.155560000000001</v>
          </cell>
          <cell r="G318">
            <v>16.95889</v>
          </cell>
          <cell r="I318" t="str">
            <v>ROMEO/EPWS</v>
          </cell>
        </row>
        <row r="319">
          <cell r="F319">
            <v>51.301670000000001</v>
          </cell>
          <cell r="G319">
            <v>17.06278</v>
          </cell>
          <cell r="I319" t="str">
            <v>TANGO/EPWS</v>
          </cell>
        </row>
        <row r="320">
          <cell r="F320">
            <v>51.25</v>
          </cell>
          <cell r="G320">
            <v>16.841670000000001</v>
          </cell>
          <cell r="I320" t="str">
            <v>ZULU/EPWS</v>
          </cell>
        </row>
        <row r="321">
          <cell r="F321">
            <v>50.593890000000002</v>
          </cell>
          <cell r="G321">
            <v>23.174440000000001</v>
          </cell>
          <cell r="I321" t="str">
            <v>ALFA/EPZA</v>
          </cell>
        </row>
        <row r="322">
          <cell r="F322">
            <v>50.718060000000001</v>
          </cell>
          <cell r="G322">
            <v>23.032779999999999</v>
          </cell>
          <cell r="I322" t="str">
            <v>BRAVO/EPZA</v>
          </cell>
        </row>
        <row r="323">
          <cell r="F323">
            <v>50.663330000000002</v>
          </cell>
          <cell r="G323">
            <v>23.19556</v>
          </cell>
          <cell r="I323" t="str">
            <v>LIMA/EPZA</v>
          </cell>
        </row>
        <row r="324">
          <cell r="F324">
            <v>50.750830000000001</v>
          </cell>
          <cell r="G324">
            <v>23.240829999999999</v>
          </cell>
          <cell r="I324" t="str">
            <v>SIERRA/EPZA</v>
          </cell>
        </row>
        <row r="325">
          <cell r="F325">
            <v>50.721939999999996</v>
          </cell>
          <cell r="G325">
            <v>23.133610000000001</v>
          </cell>
          <cell r="I325" t="str">
            <v>ZULU/EPZA</v>
          </cell>
        </row>
        <row r="326">
          <cell r="F326">
            <v>52.031669999999998</v>
          </cell>
          <cell r="G326">
            <v>15.626939999999999</v>
          </cell>
          <cell r="I326" t="str">
            <v>CHARLIE/EPZG</v>
          </cell>
        </row>
        <row r="327">
          <cell r="F327">
            <v>52.158059999999999</v>
          </cell>
          <cell r="G327">
            <v>15.52</v>
          </cell>
          <cell r="I327" t="str">
            <v>DELTA/EPZG</v>
          </cell>
        </row>
        <row r="328">
          <cell r="F328">
            <v>52.304169999999999</v>
          </cell>
          <cell r="G328">
            <v>16.13139</v>
          </cell>
          <cell r="I328" t="str">
            <v>INDIA/EPZG</v>
          </cell>
        </row>
        <row r="329">
          <cell r="F329">
            <v>52.066670000000002</v>
          </cell>
          <cell r="G329">
            <v>15.86</v>
          </cell>
          <cell r="I329" t="str">
            <v>KILO/EPZG</v>
          </cell>
        </row>
        <row r="330">
          <cell r="F330">
            <v>52.164720000000003</v>
          </cell>
          <cell r="G330">
            <v>15.81194</v>
          </cell>
          <cell r="I330" t="str">
            <v>NOVEMBER/EPZG</v>
          </cell>
        </row>
        <row r="331">
          <cell r="F331">
            <v>52.121670000000002</v>
          </cell>
          <cell r="G331">
            <v>15.810280000000001</v>
          </cell>
          <cell r="I331" t="str">
            <v>SIERRA/EPZG</v>
          </cell>
        </row>
        <row r="332">
          <cell r="F332">
            <v>52.097499999999997</v>
          </cell>
          <cell r="G332">
            <v>16.095279999999999</v>
          </cell>
          <cell r="I332" t="str">
            <v>WHISKEY/EPZG</v>
          </cell>
        </row>
        <row r="333">
          <cell r="F333">
            <v>52.230829999999997</v>
          </cell>
          <cell r="G333">
            <v>15.80556</v>
          </cell>
          <cell r="I333" t="str">
            <v>ZULU/EPZG</v>
          </cell>
        </row>
        <row r="334">
          <cell r="F334">
            <v>51.924999999999997</v>
          </cell>
          <cell r="G334">
            <v>15.561109999999999</v>
          </cell>
          <cell r="I334" t="str">
            <v>ECHO/EPZP</v>
          </cell>
        </row>
        <row r="335">
          <cell r="F335">
            <v>51.945279999999997</v>
          </cell>
          <cell r="G335">
            <v>15.31861</v>
          </cell>
          <cell r="I335" t="str">
            <v>MIKE/EPZP</v>
          </cell>
        </row>
        <row r="336">
          <cell r="F336">
            <v>52.000830000000001</v>
          </cell>
          <cell r="G336">
            <v>15.460279999999999</v>
          </cell>
          <cell r="I336" t="str">
            <v>NOVEMBER/EPZP</v>
          </cell>
        </row>
        <row r="337">
          <cell r="F337">
            <v>52.049439999999997</v>
          </cell>
          <cell r="G337">
            <v>15.36111</v>
          </cell>
          <cell r="I337" t="str">
            <v>OSCAR/EPZP</v>
          </cell>
        </row>
        <row r="338">
          <cell r="F338">
            <v>51.959440000000001</v>
          </cell>
          <cell r="G338">
            <v>15.46528</v>
          </cell>
          <cell r="I338" t="str">
            <v>ROMEO/EPZP</v>
          </cell>
        </row>
        <row r="339">
          <cell r="F339">
            <v>51.990560000000002</v>
          </cell>
          <cell r="G339">
            <v>15.56278</v>
          </cell>
          <cell r="I339" t="str">
            <v>ZULU/EPZP</v>
          </cell>
        </row>
        <row r="340">
          <cell r="F340">
            <v>49.712220000000002</v>
          </cell>
          <cell r="G340">
            <v>19.308610000000002</v>
          </cell>
          <cell r="I340" t="str">
            <v>GOLF/EPZR</v>
          </cell>
        </row>
        <row r="341">
          <cell r="F341">
            <v>49.72</v>
          </cell>
          <cell r="G341">
            <v>19.210830000000001</v>
          </cell>
          <cell r="I341" t="str">
            <v>JULIETT/EPZR</v>
          </cell>
        </row>
        <row r="342">
          <cell r="F342">
            <v>49.848889999999997</v>
          </cell>
          <cell r="G342">
            <v>19.216940000000001</v>
          </cell>
          <cell r="I342" t="str">
            <v>KILO/EPZR</v>
          </cell>
        </row>
        <row r="343">
          <cell r="F343">
            <v>49.787219999999998</v>
          </cell>
          <cell r="G343">
            <v>19.19417</v>
          </cell>
          <cell r="I343" t="str">
            <v>MIKE/EPZR</v>
          </cell>
        </row>
        <row r="344">
          <cell r="F344">
            <v>49.81944</v>
          </cell>
          <cell r="G344">
            <v>19.21583</v>
          </cell>
          <cell r="I344" t="str">
            <v>PAPA/EPZR</v>
          </cell>
        </row>
        <row r="345">
          <cell r="F345">
            <v>49.761670000000002</v>
          </cell>
          <cell r="G345">
            <v>19.09083</v>
          </cell>
          <cell r="I345" t="str">
            <v>WHISKEY/EPZR</v>
          </cell>
        </row>
        <row r="346">
          <cell r="F346">
            <v>49.805</v>
          </cell>
          <cell r="G346">
            <v>19.002027999999999</v>
          </cell>
          <cell r="I346" t="str">
            <v>EPBA ARP</v>
          </cell>
        </row>
        <row r="347">
          <cell r="F347">
            <v>52.269193999999999</v>
          </cell>
          <cell r="G347">
            <v>20.907222000000001</v>
          </cell>
          <cell r="I347" t="str">
            <v>EPBC ARP</v>
          </cell>
        </row>
        <row r="348">
          <cell r="F348">
            <v>53.102249999999998</v>
          </cell>
          <cell r="G348">
            <v>23.171056</v>
          </cell>
          <cell r="I348" t="str">
            <v>EPBK ARP</v>
          </cell>
        </row>
        <row r="349">
          <cell r="F349">
            <v>53.096666999999997</v>
          </cell>
          <cell r="G349">
            <v>17.977778000000001</v>
          </cell>
          <cell r="I349" t="str">
            <v>EPBY ARP</v>
          </cell>
        </row>
        <row r="350">
          <cell r="F350">
            <v>51.082721999999997</v>
          </cell>
          <cell r="G350">
            <v>23.437750000000001</v>
          </cell>
          <cell r="I350" t="str">
            <v>EPCD ARP</v>
          </cell>
        </row>
        <row r="351">
          <cell r="F351">
            <v>54.377499999999998</v>
          </cell>
          <cell r="G351">
            <v>18.466111000000001</v>
          </cell>
          <cell r="I351" t="str">
            <v>EPGD ARP</v>
          </cell>
        </row>
        <row r="352">
          <cell r="F352">
            <v>53.524417</v>
          </cell>
          <cell r="G352">
            <v>18.849471999999999</v>
          </cell>
          <cell r="I352" t="str">
            <v>EPGI ARP</v>
          </cell>
        </row>
        <row r="353">
          <cell r="F353">
            <v>50.269944000000002</v>
          </cell>
          <cell r="G353">
            <v>18.672388999999999</v>
          </cell>
          <cell r="I353" t="str">
            <v>EPGL ARP</v>
          </cell>
        </row>
        <row r="354">
          <cell r="F354">
            <v>52.806277999999999</v>
          </cell>
          <cell r="G354">
            <v>18.284860999999999</v>
          </cell>
          <cell r="I354" t="str">
            <v>EPIN ARP</v>
          </cell>
        </row>
        <row r="355">
          <cell r="F355">
            <v>50.89875</v>
          </cell>
          <cell r="G355">
            <v>15.785167</v>
          </cell>
          <cell r="I355" t="str">
            <v>EPJG ARP</v>
          </cell>
        </row>
        <row r="356">
          <cell r="F356">
            <v>50.944028000000003</v>
          </cell>
          <cell r="G356">
            <v>15.766527999999999</v>
          </cell>
          <cell r="I356" t="str">
            <v>EPJS ARP</v>
          </cell>
        </row>
        <row r="357">
          <cell r="F357">
            <v>50.896861000000001</v>
          </cell>
          <cell r="G357">
            <v>20.731361</v>
          </cell>
          <cell r="I357" t="str">
            <v>EPKA ARP</v>
          </cell>
        </row>
        <row r="358">
          <cell r="F358">
            <v>54.046889</v>
          </cell>
          <cell r="G358">
            <v>21.426444</v>
          </cell>
          <cell r="I358" t="str">
            <v>EPKE ARP</v>
          </cell>
        </row>
        <row r="359">
          <cell r="F359">
            <v>50.077778000000002</v>
          </cell>
          <cell r="G359">
            <v>19.784721999999999</v>
          </cell>
          <cell r="I359" t="str">
            <v>EPKK ARP</v>
          </cell>
        </row>
        <row r="360">
          <cell r="F360">
            <v>50.238500000000002</v>
          </cell>
          <cell r="G360">
            <v>19.037167</v>
          </cell>
          <cell r="I360" t="str">
            <v>EPKM ARP</v>
          </cell>
        </row>
        <row r="361">
          <cell r="F361">
            <v>50.086388999999997</v>
          </cell>
          <cell r="G361">
            <v>20.202389</v>
          </cell>
          <cell r="I361" t="str">
            <v>EPKP ARP</v>
          </cell>
        </row>
        <row r="362">
          <cell r="F362">
            <v>49.679222000000003</v>
          </cell>
          <cell r="G362">
            <v>21.745000000000001</v>
          </cell>
          <cell r="I362" t="str">
            <v>EPKR ARP</v>
          </cell>
        </row>
        <row r="363">
          <cell r="F363">
            <v>50.474167000000001</v>
          </cell>
          <cell r="G363">
            <v>19.079999999999998</v>
          </cell>
          <cell r="I363" t="str">
            <v>EPKT ARP</v>
          </cell>
        </row>
        <row r="364">
          <cell r="F364">
            <v>49.940860999999998</v>
          </cell>
          <cell r="G364">
            <v>19.020889</v>
          </cell>
          <cell r="I364" t="str">
            <v>EPKW ARP</v>
          </cell>
        </row>
        <row r="365">
          <cell r="F365">
            <v>51.240278000000004</v>
          </cell>
          <cell r="G365">
            <v>22.713611</v>
          </cell>
          <cell r="I365" t="str">
            <v>EPLB ARP</v>
          </cell>
        </row>
        <row r="366">
          <cell r="F366">
            <v>51.721944000000001</v>
          </cell>
          <cell r="G366">
            <v>19.398056</v>
          </cell>
          <cell r="I366" t="str">
            <v>EPLL ARP</v>
          </cell>
        </row>
        <row r="367">
          <cell r="F367">
            <v>51.835278000000002</v>
          </cell>
          <cell r="G367">
            <v>16.522666999999998</v>
          </cell>
          <cell r="I367" t="str">
            <v>EPLS ARP</v>
          </cell>
        </row>
        <row r="368">
          <cell r="F368">
            <v>50.322277999999997</v>
          </cell>
          <cell r="G368">
            <v>21.461749999999999</v>
          </cell>
          <cell r="I368" t="str">
            <v>EPML ARP</v>
          </cell>
        </row>
        <row r="369">
          <cell r="F369">
            <v>52.451110999999997</v>
          </cell>
          <cell r="G369">
            <v>20.651944</v>
          </cell>
          <cell r="I369" t="str">
            <v>EPMO ARP</v>
          </cell>
        </row>
        <row r="370">
          <cell r="F370">
            <v>50.959083</v>
          </cell>
          <cell r="G370">
            <v>16.770250000000001</v>
          </cell>
          <cell r="I370" t="str">
            <v>EPMR ARP</v>
          </cell>
        </row>
        <row r="371">
          <cell r="F371">
            <v>52.573999999999998</v>
          </cell>
          <cell r="G371">
            <v>20.871917</v>
          </cell>
          <cell r="I371" t="str">
            <v>EPNC ARP</v>
          </cell>
        </row>
        <row r="372">
          <cell r="F372">
            <v>49.462833000000003</v>
          </cell>
          <cell r="G372">
            <v>20.050667000000001</v>
          </cell>
          <cell r="I372" t="str">
            <v>EPNT ARP</v>
          </cell>
        </row>
        <row r="373">
          <cell r="F373">
            <v>53.773888999999997</v>
          </cell>
          <cell r="G373">
            <v>20.413499999999999</v>
          </cell>
          <cell r="I373" t="str">
            <v>EPOD ARP</v>
          </cell>
        </row>
        <row r="374">
          <cell r="F374">
            <v>51.700749999999999</v>
          </cell>
          <cell r="G374">
            <v>17.846361000000002</v>
          </cell>
          <cell r="I374" t="str">
            <v>EPOM ARP</v>
          </cell>
        </row>
        <row r="375">
          <cell r="F375">
            <v>50.632167000000003</v>
          </cell>
          <cell r="G375">
            <v>17.780667000000001</v>
          </cell>
          <cell r="I375" t="str">
            <v>EPOP ARP</v>
          </cell>
        </row>
        <row r="376">
          <cell r="F376">
            <v>52.534806000000003</v>
          </cell>
          <cell r="G376">
            <v>17.216138999999998</v>
          </cell>
          <cell r="I376" t="str">
            <v>EPPB ARP</v>
          </cell>
        </row>
        <row r="377">
          <cell r="F377">
            <v>52.434417000000003</v>
          </cell>
          <cell r="G377">
            <v>17.044194000000001</v>
          </cell>
          <cell r="I377" t="str">
            <v>EPPK ARP</v>
          </cell>
        </row>
        <row r="378">
          <cell r="F378">
            <v>52.561917000000001</v>
          </cell>
          <cell r="G378">
            <v>19.720917</v>
          </cell>
          <cell r="I378" t="str">
            <v>EPPL ARP</v>
          </cell>
        </row>
        <row r="379">
          <cell r="F379">
            <v>52.421111000000003</v>
          </cell>
          <cell r="G379">
            <v>16.826388999999999</v>
          </cell>
          <cell r="I379" t="str">
            <v>EPPO ARP</v>
          </cell>
        </row>
        <row r="380">
          <cell r="F380">
            <v>51.382556000000001</v>
          </cell>
          <cell r="G380">
            <v>19.688528000000002</v>
          </cell>
          <cell r="I380" t="str">
            <v>EPPT ARP</v>
          </cell>
        </row>
        <row r="381">
          <cell r="F381">
            <v>51.388888999999999</v>
          </cell>
          <cell r="G381">
            <v>21.211666999999998</v>
          </cell>
          <cell r="I381" t="str">
            <v>EPRA ARP</v>
          </cell>
        </row>
        <row r="382">
          <cell r="F382">
            <v>50.070999999999998</v>
          </cell>
          <cell r="G382">
            <v>18.629166999999999</v>
          </cell>
          <cell r="I382" t="str">
            <v>EPRG ARP</v>
          </cell>
        </row>
        <row r="383">
          <cell r="F383">
            <v>51.478999999999999</v>
          </cell>
          <cell r="G383">
            <v>21.109611000000001</v>
          </cell>
          <cell r="I383" t="str">
            <v>EPRP ARP</v>
          </cell>
        </row>
        <row r="384">
          <cell r="F384">
            <v>50.884805999999998</v>
          </cell>
          <cell r="G384">
            <v>19.202999999999999</v>
          </cell>
          <cell r="I384" t="str">
            <v>EPRU ARP</v>
          </cell>
        </row>
        <row r="385">
          <cell r="F385">
            <v>50.11</v>
          </cell>
          <cell r="G385">
            <v>22.018889000000001</v>
          </cell>
          <cell r="I385" t="str">
            <v>EPRZ ARP</v>
          </cell>
        </row>
        <row r="386">
          <cell r="F386">
            <v>53.584721999999999</v>
          </cell>
          <cell r="G386">
            <v>14.902222</v>
          </cell>
          <cell r="I386" t="str">
            <v>EPSC ARP</v>
          </cell>
        </row>
        <row r="387">
          <cell r="F387">
            <v>53.390694000000003</v>
          </cell>
          <cell r="G387">
            <v>14.632417</v>
          </cell>
          <cell r="I387" t="str">
            <v>EPSD ARP</v>
          </cell>
        </row>
        <row r="388">
          <cell r="F388">
            <v>53.250528000000003</v>
          </cell>
          <cell r="G388">
            <v>16.751805999999998</v>
          </cell>
          <cell r="I388" t="str">
            <v>EPSK ARP</v>
          </cell>
        </row>
        <row r="389">
          <cell r="F389">
            <v>50.626389000000003</v>
          </cell>
          <cell r="G389">
            <v>21.999056</v>
          </cell>
          <cell r="I389" t="str">
            <v>EPST ARP</v>
          </cell>
        </row>
        <row r="390">
          <cell r="F390">
            <v>54.074416999999997</v>
          </cell>
          <cell r="G390">
            <v>22.900082999999999</v>
          </cell>
          <cell r="I390" t="str">
            <v>EPSU ARP</v>
          </cell>
        </row>
        <row r="391">
          <cell r="F391">
            <v>53.481943999999999</v>
          </cell>
          <cell r="G391">
            <v>20.937778000000002</v>
          </cell>
          <cell r="I391" t="str">
            <v>EPSY ARP</v>
          </cell>
        </row>
        <row r="392">
          <cell r="F392">
            <v>53.029027999999997</v>
          </cell>
          <cell r="G392">
            <v>18.546889</v>
          </cell>
          <cell r="I392" t="str">
            <v>EPTO ARP</v>
          </cell>
        </row>
        <row r="393">
          <cell r="F393">
            <v>52.165832999999999</v>
          </cell>
          <cell r="G393">
            <v>20.967222</v>
          </cell>
          <cell r="I393" t="str">
            <v>EPWA ARP</v>
          </cell>
        </row>
        <row r="394">
          <cell r="F394">
            <v>52.584417000000002</v>
          </cell>
          <cell r="G394">
            <v>19.012499999999999</v>
          </cell>
          <cell r="I394" t="str">
            <v>EPWK ARP</v>
          </cell>
        </row>
        <row r="395">
          <cell r="F395">
            <v>51.102778000000001</v>
          </cell>
          <cell r="G395">
            <v>16.885833000000002</v>
          </cell>
          <cell r="I395" t="str">
            <v>EPWR ARP</v>
          </cell>
        </row>
        <row r="396">
          <cell r="F396">
            <v>51.207056000000001</v>
          </cell>
          <cell r="G396">
            <v>16.998305999999999</v>
          </cell>
          <cell r="I396" t="str">
            <v>EPWS ARP</v>
          </cell>
        </row>
        <row r="397">
          <cell r="F397">
            <v>50.700916999999997</v>
          </cell>
          <cell r="G397">
            <v>23.204833000000001</v>
          </cell>
          <cell r="I397" t="str">
            <v>EPZA ARP</v>
          </cell>
        </row>
        <row r="398">
          <cell r="F398">
            <v>52.138610999999997</v>
          </cell>
          <cell r="G398">
            <v>15.798610999999999</v>
          </cell>
          <cell r="I398" t="str">
            <v>EPZG ARP</v>
          </cell>
        </row>
        <row r="399">
          <cell r="F399">
            <v>51.979528000000002</v>
          </cell>
          <cell r="G399">
            <v>15.464055999999999</v>
          </cell>
          <cell r="I399" t="str">
            <v>EPZP ARP</v>
          </cell>
        </row>
        <row r="400">
          <cell r="F400">
            <v>49.770972</v>
          </cell>
          <cell r="G400">
            <v>19.218139000000001</v>
          </cell>
          <cell r="I400" t="str">
            <v>EPZR ARP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3"/>
  <sheetViews>
    <sheetView showGridLines="0" zoomScaleNormal="100" workbookViewId="0">
      <pane ySplit="14" topLeftCell="A15" activePane="bottomLeft" state="frozen"/>
      <selection pane="bottomLeft" activeCell="C18" sqref="C18"/>
    </sheetView>
  </sheetViews>
  <sheetFormatPr defaultColWidth="8.6640625" defaultRowHeight="14.4" x14ac:dyDescent="0.3"/>
  <cols>
    <col min="1" max="1" width="18" customWidth="1"/>
    <col min="2" max="2" width="11" customWidth="1"/>
    <col min="3" max="7" width="8" customWidth="1"/>
    <col min="8" max="8" width="9" customWidth="1"/>
    <col min="9" max="10" width="10" customWidth="1"/>
    <col min="11" max="12" width="8" customWidth="1"/>
    <col min="13" max="14" width="13" hidden="1" customWidth="1"/>
  </cols>
  <sheetData>
    <row r="1" spans="1:14" ht="36" customHeight="1" x14ac:dyDescent="0.3">
      <c r="A1" s="14" t="s">
        <v>0</v>
      </c>
      <c r="B1" s="14"/>
      <c r="C1" s="13" t="s">
        <v>1</v>
      </c>
      <c r="D1" s="13"/>
      <c r="E1" s="13"/>
      <c r="F1" s="13"/>
      <c r="G1" s="13"/>
      <c r="H1" s="13"/>
      <c r="I1" s="13"/>
      <c r="J1" s="13"/>
      <c r="K1" s="13"/>
      <c r="L1" s="13"/>
    </row>
    <row r="2" spans="1:14" ht="13.5" customHeight="1" x14ac:dyDescent="0.3">
      <c r="A2" s="15" t="s">
        <v>2</v>
      </c>
      <c r="B2" s="15" t="s">
        <v>3</v>
      </c>
      <c r="C2" s="12" t="s">
        <v>4</v>
      </c>
      <c r="D2" s="12"/>
      <c r="E2" s="12" t="s">
        <v>5</v>
      </c>
      <c r="F2" s="12"/>
      <c r="G2" s="12" t="s">
        <v>6</v>
      </c>
      <c r="H2" s="12"/>
      <c r="I2" s="12" t="s">
        <v>7</v>
      </c>
      <c r="J2" s="12"/>
      <c r="K2" s="12" t="s">
        <v>8</v>
      </c>
      <c r="L2" s="12"/>
    </row>
    <row r="3" spans="1:14" ht="21.75" customHeight="1" x14ac:dyDescent="0.3">
      <c r="A3" s="16"/>
      <c r="B3" s="16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4" ht="19.5" customHeight="1" x14ac:dyDescent="0.3">
      <c r="A4" s="10" t="s">
        <v>9</v>
      </c>
      <c r="B4" s="10"/>
      <c r="C4" s="10"/>
      <c r="D4" s="10" t="s">
        <v>10</v>
      </c>
      <c r="E4" s="10"/>
      <c r="F4" s="10"/>
      <c r="G4" s="10"/>
      <c r="H4" s="10" t="s">
        <v>11</v>
      </c>
      <c r="I4" s="10"/>
      <c r="J4" s="10"/>
      <c r="K4" s="10"/>
      <c r="L4" s="10"/>
    </row>
    <row r="5" spans="1:14" ht="16.5" customHeight="1" x14ac:dyDescent="0.3">
      <c r="A5" s="9"/>
      <c r="B5" s="9"/>
      <c r="C5" s="9"/>
      <c r="D5" s="8" t="s">
        <v>12</v>
      </c>
      <c r="E5" s="8"/>
      <c r="F5" s="7"/>
      <c r="G5" s="7"/>
      <c r="H5" s="8" t="s">
        <v>13</v>
      </c>
      <c r="I5" s="8"/>
      <c r="J5" s="6"/>
      <c r="K5" s="6"/>
      <c r="L5" s="6"/>
    </row>
    <row r="6" spans="1:14" ht="16.5" customHeight="1" x14ac:dyDescent="0.3">
      <c r="A6" s="9"/>
      <c r="B6" s="9"/>
      <c r="C6" s="9"/>
      <c r="D6" s="8" t="s">
        <v>14</v>
      </c>
      <c r="E6" s="8"/>
      <c r="F6" s="7"/>
      <c r="G6" s="7"/>
      <c r="H6" s="8" t="s">
        <v>15</v>
      </c>
      <c r="I6" s="8"/>
      <c r="J6" s="6"/>
      <c r="K6" s="6"/>
      <c r="L6" s="6"/>
    </row>
    <row r="7" spans="1:14" ht="16.5" customHeight="1" x14ac:dyDescent="0.3">
      <c r="A7" s="9"/>
      <c r="B7" s="9"/>
      <c r="C7" s="9"/>
      <c r="D7" s="8" t="s">
        <v>16</v>
      </c>
      <c r="E7" s="8"/>
      <c r="F7" s="7"/>
      <c r="G7" s="7"/>
      <c r="H7" s="8" t="s">
        <v>17</v>
      </c>
      <c r="I7" s="8"/>
      <c r="J7" s="6"/>
      <c r="K7" s="6"/>
      <c r="L7" s="6"/>
    </row>
    <row r="8" spans="1:14" ht="16.5" customHeight="1" x14ac:dyDescent="0.3">
      <c r="A8" s="9"/>
      <c r="B8" s="9"/>
      <c r="C8" s="9"/>
      <c r="D8" s="8" t="s">
        <v>18</v>
      </c>
      <c r="E8" s="8"/>
      <c r="F8" s="5">
        <f>IFERROR(IF(OR(F7="",L15=""),F7,F7*(1+0.02*L15/1000)),F7)</f>
        <v>0</v>
      </c>
      <c r="G8" s="5"/>
      <c r="H8" s="8" t="s">
        <v>19</v>
      </c>
      <c r="I8" s="8"/>
      <c r="J8" s="6"/>
      <c r="K8" s="6"/>
      <c r="L8" s="6"/>
    </row>
    <row r="9" spans="1:14" ht="16.5" customHeight="1" x14ac:dyDescent="0.3">
      <c r="A9" s="9"/>
      <c r="B9" s="9"/>
      <c r="C9" s="9"/>
      <c r="D9" s="8" t="s">
        <v>20</v>
      </c>
      <c r="E9" s="8"/>
      <c r="F9" s="7"/>
      <c r="G9" s="7"/>
      <c r="H9" s="8" t="s">
        <v>21</v>
      </c>
      <c r="I9" s="8"/>
      <c r="J9" s="6"/>
      <c r="K9" s="6"/>
      <c r="L9" s="6"/>
    </row>
    <row r="10" spans="1:14" ht="16.5" customHeight="1" x14ac:dyDescent="0.3">
      <c r="A10" s="9"/>
      <c r="B10" s="9"/>
      <c r="C10" s="9"/>
      <c r="D10" s="8" t="s">
        <v>22</v>
      </c>
      <c r="E10" s="8"/>
      <c r="F10" s="7"/>
      <c r="G10" s="7"/>
      <c r="H10" s="8" t="s">
        <v>23</v>
      </c>
      <c r="I10" s="8"/>
      <c r="J10" s="6"/>
      <c r="K10" s="6"/>
      <c r="L10" s="6"/>
    </row>
    <row r="11" spans="1:14" ht="16.5" customHeight="1" x14ac:dyDescent="0.3">
      <c r="A11" s="9"/>
      <c r="B11" s="9"/>
      <c r="C11" s="9"/>
      <c r="D11" s="8" t="s">
        <v>24</v>
      </c>
      <c r="E11" s="8"/>
      <c r="F11" s="4"/>
      <c r="G11" s="4"/>
      <c r="H11" s="8" t="s">
        <v>25</v>
      </c>
      <c r="I11" s="8"/>
      <c r="J11" s="6"/>
      <c r="K11" s="6"/>
      <c r="L11" s="6"/>
    </row>
    <row r="12" spans="1:14" ht="16.5" customHeight="1" x14ac:dyDescent="0.3">
      <c r="A12" s="9"/>
      <c r="B12" s="9"/>
      <c r="C12" s="9"/>
      <c r="D12" s="8" t="s">
        <v>26</v>
      </c>
      <c r="E12" s="8"/>
      <c r="F12" s="7"/>
      <c r="G12" s="7"/>
      <c r="H12" s="8" t="s">
        <v>27</v>
      </c>
      <c r="I12" s="8"/>
      <c r="J12" s="6"/>
      <c r="K12" s="6"/>
      <c r="L12" s="6"/>
    </row>
    <row r="13" spans="1:14" ht="6" customHeight="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4" ht="31.5" customHeight="1" x14ac:dyDescent="0.3">
      <c r="A14" s="21" t="s">
        <v>28</v>
      </c>
      <c r="B14" s="21" t="s">
        <v>29</v>
      </c>
      <c r="C14" s="21" t="s">
        <v>30</v>
      </c>
      <c r="D14" s="21" t="s">
        <v>31</v>
      </c>
      <c r="E14" s="21" t="s">
        <v>32</v>
      </c>
      <c r="F14" s="21" t="s">
        <v>33</v>
      </c>
      <c r="G14" s="21" t="s">
        <v>34</v>
      </c>
      <c r="H14" s="21" t="s">
        <v>35</v>
      </c>
      <c r="I14" s="21" t="s">
        <v>36</v>
      </c>
      <c r="J14" s="21" t="s">
        <v>37</v>
      </c>
      <c r="K14" s="21" t="s">
        <v>38</v>
      </c>
      <c r="L14" s="21" t="s">
        <v>39</v>
      </c>
      <c r="M14" s="22" t="s">
        <v>40</v>
      </c>
      <c r="N14" s="22" t="s">
        <v>41</v>
      </c>
    </row>
    <row r="15" spans="1:14" ht="21.75" customHeight="1" x14ac:dyDescent="0.3">
      <c r="A15" s="23"/>
      <c r="B15" s="24"/>
      <c r="C15" s="3" t="str">
        <f>IF(A15="","",IFERROR(HYPERLINK("#"&amp;"'Wszystkie punkty'!A"&amp;MATCH(A15,'Wszystkie punkty'!$I:$I,0),"↗  Pokaż w bazie  ('Wszystkie punkty')"),"(brak w bazie)"))</f>
        <v/>
      </c>
      <c r="D15" s="3"/>
      <c r="E15" s="3"/>
      <c r="F15" s="3"/>
      <c r="G15" s="3"/>
      <c r="H15" s="3"/>
      <c r="I15" s="3"/>
      <c r="J15" s="3"/>
      <c r="K15" s="17"/>
      <c r="L15" s="17"/>
      <c r="M15" s="25" t="str">
        <f>IFERROR(INDEX('Wszystkie punkty'!$F:$F,MATCH(A15,'Wszystkie punkty'!$I:$I,0)),"")</f>
        <v/>
      </c>
      <c r="N15" s="25" t="str">
        <f>IFERROR(INDEX('Wszystkie punkty'!$G:$G,MATCH(A15,'Wszystkie punkty'!$I:$I,0)),"")</f>
        <v/>
      </c>
    </row>
    <row r="16" spans="1:14" ht="18" customHeight="1" x14ac:dyDescent="0.3">
      <c r="A16" s="26" t="s">
        <v>42</v>
      </c>
      <c r="B16" s="27"/>
      <c r="C16" s="17"/>
      <c r="D16" s="28" t="str">
        <f>IFERROR(IF(OR(C16="",$F$6="",$F$8=""),"",ROUND(DEGREES(ASIN($F$6*SIN(RADIANS($F$5-C16))/$F$8)),0)),"")</f>
        <v/>
      </c>
      <c r="E16" s="28" t="str">
        <f>IFERROR(IF(OR(C16="",D16=""),"",MOD(ROUND(C16+D16,0)+360,360)),"")</f>
        <v/>
      </c>
      <c r="F16" s="19" t="str">
        <f>IFERROR(IF(OR(M15="",M17="",N15="",N17=""),"",ROUND(ACOS(MIN(1,SIN(RADIANS(M15))*SIN(RADIANS(M17))+COS(RADIANS(M15))*COS(RADIANS(M17))*COS(RADIANS(N17-N15))))*3440.065,1)),"")</f>
        <v/>
      </c>
      <c r="G16" s="28" t="str">
        <f>IFERROR(IF(OR(C16="",$F$8=""),"",ROUND($F$8*COS(RADIANS(D16))-$F$6*COS(RADIANS($F$5-C16)),0)),"")</f>
        <v/>
      </c>
      <c r="H16" s="28" t="str">
        <f>IFERROR(IF(OR(F16="",G16="",G16&lt;=0),"",ROUND(F16/G16*60,0)),"")</f>
        <v/>
      </c>
      <c r="I16" s="29" t="str">
        <f>IFERROR(IF(OR(H16="",$J$7=""),"",$J$7+H16/1440),"")</f>
        <v/>
      </c>
      <c r="J16" s="30"/>
      <c r="K16" s="2"/>
      <c r="L16" s="2"/>
    </row>
    <row r="17" spans="1:14" ht="21.75" customHeight="1" x14ac:dyDescent="0.3">
      <c r="A17" s="23"/>
      <c r="B17" s="24"/>
      <c r="C17" s="3" t="str">
        <f>IF(A17="","",IFERROR(HYPERLINK("#"&amp;"'Wszystkie punkty'!A"&amp;MATCH(A17,'Wszystkie punkty'!$I:$I,0),"↗  Pokaż w bazie  ('Wszystkie punkty')"),"(brak w bazie)"))</f>
        <v/>
      </c>
      <c r="D17" s="3"/>
      <c r="E17" s="3"/>
      <c r="F17" s="3"/>
      <c r="G17" s="3"/>
      <c r="H17" s="3"/>
      <c r="I17" s="3"/>
      <c r="J17" s="3"/>
      <c r="K17" s="17"/>
      <c r="L17" s="17"/>
      <c r="M17" s="25" t="str">
        <f>IFERROR(INDEX('Wszystkie punkty'!$F:$F,MATCH(A17,'Wszystkie punkty'!$I:$I,0)),"")</f>
        <v/>
      </c>
      <c r="N17" s="25" t="str">
        <f>IFERROR(INDEX('Wszystkie punkty'!$G:$G,MATCH(A17,'Wszystkie punkty'!$I:$I,0)),"")</f>
        <v/>
      </c>
    </row>
    <row r="18" spans="1:14" ht="18" customHeight="1" x14ac:dyDescent="0.3">
      <c r="A18" s="31" t="s">
        <v>42</v>
      </c>
      <c r="B18" s="32"/>
      <c r="C18" s="17"/>
      <c r="D18" s="33" t="str">
        <f>IFERROR(IF(OR(C18="",$F$6="",$F$8=""),"",ROUND(DEGREES(ASIN($F$6*SIN(RADIANS($F$5-C18))/$F$8)),0)),"")</f>
        <v/>
      </c>
      <c r="E18" s="33" t="str">
        <f>IFERROR(IF(OR(C18="",D18=""),"",MOD(ROUND(C18+D18,0)+360,360)),"")</f>
        <v/>
      </c>
      <c r="F18" s="19" t="str">
        <f>IFERROR(IF(OR(M17="",M19="",N17="",N19=""),"",ROUND(ACOS(MIN(1,SIN(RADIANS(M17))*SIN(RADIANS(M19))+COS(RADIANS(M17))*COS(RADIANS(M19))*COS(RADIANS(N19-N17))))*3440.065,1)),"")</f>
        <v/>
      </c>
      <c r="G18" s="33" t="str">
        <f>IFERROR(IF(OR(C18="",$F$8=""),"",ROUND($F$8*COS(RADIANS(D18))-$F$6*COS(RADIANS($F$5-C18)),0)),"")</f>
        <v/>
      </c>
      <c r="H18" s="33" t="str">
        <f>IFERROR(IF(OR(F18="",G18="",G18&lt;=0),"",ROUND(F18/G18*60,0)),"")</f>
        <v/>
      </c>
      <c r="I18" s="34" t="str">
        <f>IFERROR(IF(OR(H18="",I16=""),"",I16+H18/1440),"")</f>
        <v/>
      </c>
      <c r="J18" s="30"/>
      <c r="K18" s="2"/>
      <c r="L18" s="2"/>
    </row>
    <row r="19" spans="1:14" ht="21.75" customHeight="1" x14ac:dyDescent="0.3">
      <c r="A19" s="23"/>
      <c r="B19" s="24"/>
      <c r="C19" s="3" t="str">
        <f>IF(A19="","",IFERROR(HYPERLINK("#"&amp;"'Wszystkie punkty'!A"&amp;MATCH(A19,'Wszystkie punkty'!$I:$I,0),"↗  Pokaż w bazie  ('Wszystkie punkty')"),"(brak w bazie)"))</f>
        <v/>
      </c>
      <c r="D19" s="3"/>
      <c r="E19" s="3"/>
      <c r="F19" s="3"/>
      <c r="G19" s="3"/>
      <c r="H19" s="3"/>
      <c r="I19" s="3"/>
      <c r="J19" s="3"/>
      <c r="K19" s="17"/>
      <c r="L19" s="17"/>
      <c r="M19" s="25" t="str">
        <f>IFERROR(INDEX('Wszystkie punkty'!$F:$F,MATCH(A19,'Wszystkie punkty'!$I:$I,0)),"")</f>
        <v/>
      </c>
      <c r="N19" s="25" t="str">
        <f>IFERROR(INDEX('Wszystkie punkty'!$G:$G,MATCH(A19,'Wszystkie punkty'!$I:$I,0)),"")</f>
        <v/>
      </c>
    </row>
    <row r="20" spans="1:14" ht="18" customHeight="1" x14ac:dyDescent="0.3">
      <c r="A20" s="26" t="s">
        <v>42</v>
      </c>
      <c r="B20" s="27"/>
      <c r="C20" s="17"/>
      <c r="D20" s="28" t="str">
        <f>IFERROR(IF(OR(C20="",$F$6="",$F$8=""),"",ROUND(DEGREES(ASIN($F$6*SIN(RADIANS($F$5-C20))/$F$8)),0)),"")</f>
        <v/>
      </c>
      <c r="E20" s="28" t="str">
        <f>IFERROR(IF(OR(C20="",D20=""),"",MOD(ROUND(C20+D20,0)+360,360)),"")</f>
        <v/>
      </c>
      <c r="F20" s="19" t="str">
        <f>IFERROR(IF(OR(M19="",M21="",N19="",N21=""),"",ROUND(ACOS(MIN(1,SIN(RADIANS(M19))*SIN(RADIANS(M21))+COS(RADIANS(M19))*COS(RADIANS(M21))*COS(RADIANS(N21-N19))))*3440.065,1)),"")</f>
        <v/>
      </c>
      <c r="G20" s="28" t="str">
        <f>IFERROR(IF(OR(C20="",$F$8=""),"",ROUND($F$8*COS(RADIANS(D20))-$F$6*COS(RADIANS($F$5-C20)),0)),"")</f>
        <v/>
      </c>
      <c r="H20" s="28" t="str">
        <f>IFERROR(IF(OR(F20="",G20="",G20&lt;=0),"",ROUND(F20/G20*60,0)),"")</f>
        <v/>
      </c>
      <c r="I20" s="29" t="str">
        <f>IFERROR(IF(OR(H20="",I18=""),"",I18+H20/1440),"")</f>
        <v/>
      </c>
      <c r="J20" s="30"/>
      <c r="K20" s="2"/>
      <c r="L20" s="2"/>
    </row>
    <row r="21" spans="1:14" ht="21.75" customHeight="1" x14ac:dyDescent="0.3">
      <c r="A21" s="23"/>
      <c r="B21" s="24"/>
      <c r="C21" s="3" t="str">
        <f>IF(A21="","",IFERROR(HYPERLINK("#"&amp;"'Wszystkie punkty'!A"&amp;MATCH(A21,'Wszystkie punkty'!$I:$I,0),"↗  Pokaż w bazie  ('Wszystkie punkty')"),"(brak w bazie)"))</f>
        <v/>
      </c>
      <c r="D21" s="3"/>
      <c r="E21" s="3"/>
      <c r="F21" s="3"/>
      <c r="G21" s="3"/>
      <c r="H21" s="3"/>
      <c r="I21" s="3"/>
      <c r="J21" s="3"/>
      <c r="K21" s="17"/>
      <c r="L21" s="17"/>
      <c r="M21" s="25" t="str">
        <f>IFERROR(INDEX('Wszystkie punkty'!$F:$F,MATCH(A21,'Wszystkie punkty'!$I:$I,0)),"")</f>
        <v/>
      </c>
      <c r="N21" s="25" t="str">
        <f>IFERROR(INDEX('Wszystkie punkty'!$G:$G,MATCH(A21,'Wszystkie punkty'!$I:$I,0)),"")</f>
        <v/>
      </c>
    </row>
    <row r="22" spans="1:14" ht="18" customHeight="1" x14ac:dyDescent="0.3">
      <c r="A22" s="31" t="s">
        <v>42</v>
      </c>
      <c r="B22" s="32"/>
      <c r="C22" s="17"/>
      <c r="D22" s="33" t="str">
        <f>IFERROR(IF(OR(C22="",$F$6="",$F$8=""),"",ROUND(DEGREES(ASIN($F$6*SIN(RADIANS($F$5-C22))/$F$8)),0)),"")</f>
        <v/>
      </c>
      <c r="E22" s="33" t="str">
        <f>IFERROR(IF(OR(C22="",D22=""),"",MOD(ROUND(C22+D22,0)+360,360)),"")</f>
        <v/>
      </c>
      <c r="F22" s="19" t="str">
        <f>IFERROR(IF(OR(M21="",M23="",N21="",N23=""),"",ROUND(ACOS(MIN(1,SIN(RADIANS(M21))*SIN(RADIANS(M23))+COS(RADIANS(M21))*COS(RADIANS(M23))*COS(RADIANS(N23-N21))))*3440.065,1)),"")</f>
        <v/>
      </c>
      <c r="G22" s="33" t="str">
        <f>IFERROR(IF(OR(C22="",$F$8=""),"",ROUND($F$8*COS(RADIANS(D22))-$F$6*COS(RADIANS($F$5-C22)),0)),"")</f>
        <v/>
      </c>
      <c r="H22" s="33" t="str">
        <f>IFERROR(IF(OR(F22="",G22="",G22&lt;=0),"",ROUND(F22/G22*60,0)),"")</f>
        <v/>
      </c>
      <c r="I22" s="34" t="str">
        <f>IFERROR(IF(OR(H22="",I20=""),"",I20+H22/1440),"")</f>
        <v/>
      </c>
      <c r="J22" s="30"/>
      <c r="K22" s="2"/>
      <c r="L22" s="2"/>
    </row>
    <row r="23" spans="1:14" ht="21.75" customHeight="1" x14ac:dyDescent="0.3">
      <c r="A23" s="23"/>
      <c r="B23" s="24"/>
      <c r="C23" s="3" t="str">
        <f>IF(A23="","",IFERROR(HYPERLINK("#"&amp;"'Wszystkie punkty'!A"&amp;MATCH(A23,'Wszystkie punkty'!$I:$I,0),"↗  Pokaż w bazie  ('Wszystkie punkty')"),"(brak w bazie)"))</f>
        <v/>
      </c>
      <c r="D23" s="3"/>
      <c r="E23" s="3"/>
      <c r="F23" s="3"/>
      <c r="G23" s="3"/>
      <c r="H23" s="3"/>
      <c r="I23" s="3"/>
      <c r="J23" s="3"/>
      <c r="K23" s="17"/>
      <c r="L23" s="17"/>
      <c r="M23" s="25" t="str">
        <f>IFERROR(INDEX('Wszystkie punkty'!$F:$F,MATCH(A23,'Wszystkie punkty'!$I:$I,0)),"")</f>
        <v/>
      </c>
      <c r="N23" s="25" t="str">
        <f>IFERROR(INDEX('Wszystkie punkty'!$G:$G,MATCH(A23,'Wszystkie punkty'!$I:$I,0)),"")</f>
        <v/>
      </c>
    </row>
    <row r="24" spans="1:14" ht="18" customHeight="1" x14ac:dyDescent="0.3">
      <c r="A24" s="26" t="s">
        <v>42</v>
      </c>
      <c r="B24" s="27"/>
      <c r="C24" s="17"/>
      <c r="D24" s="28" t="str">
        <f>IFERROR(IF(OR(C24="",$F$6="",$F$8=""),"",ROUND(DEGREES(ASIN($F$6*SIN(RADIANS($F$5-C24))/$F$8)),0)),"")</f>
        <v/>
      </c>
      <c r="E24" s="28" t="str">
        <f>IFERROR(IF(OR(C24="",D24=""),"",MOD(ROUND(C24+D24,0)+360,360)),"")</f>
        <v/>
      </c>
      <c r="F24" s="19" t="str">
        <f>IFERROR(IF(OR(M23="",M25="",N23="",N25=""),"",ROUND(ACOS(MIN(1,SIN(RADIANS(M23))*SIN(RADIANS(M25))+COS(RADIANS(M23))*COS(RADIANS(M25))*COS(RADIANS(N25-N23))))*3440.065,1)),"")</f>
        <v/>
      </c>
      <c r="G24" s="28" t="str">
        <f>IFERROR(IF(OR(C24="",$F$8=""),"",ROUND($F$8*COS(RADIANS(D24))-$F$6*COS(RADIANS($F$5-C24)),0)),"")</f>
        <v/>
      </c>
      <c r="H24" s="28" t="str">
        <f>IFERROR(IF(OR(F24="",G24="",G24&lt;=0),"",ROUND(F24/G24*60,0)),"")</f>
        <v/>
      </c>
      <c r="I24" s="29" t="str">
        <f>IFERROR(IF(OR(H24="",I22=""),"",I22+H24/1440),"")</f>
        <v/>
      </c>
      <c r="J24" s="30"/>
      <c r="K24" s="2"/>
      <c r="L24" s="2"/>
    </row>
    <row r="25" spans="1:14" ht="21.75" customHeight="1" x14ac:dyDescent="0.3">
      <c r="A25" s="23"/>
      <c r="B25" s="24"/>
      <c r="C25" s="3" t="str">
        <f>IF(A25="","",IFERROR(HYPERLINK("#"&amp;"'Wszystkie punkty'!A"&amp;MATCH(A25,'Wszystkie punkty'!$I:$I,0),"↗  Pokaż w bazie  ('Wszystkie punkty')"),"(brak w bazie)"))</f>
        <v/>
      </c>
      <c r="D25" s="3"/>
      <c r="E25" s="3"/>
      <c r="F25" s="3"/>
      <c r="G25" s="3"/>
      <c r="H25" s="3"/>
      <c r="I25" s="3"/>
      <c r="J25" s="3"/>
      <c r="K25" s="17"/>
      <c r="L25" s="17"/>
      <c r="M25" s="25" t="str">
        <f>IFERROR(INDEX('Wszystkie punkty'!$F:$F,MATCH(A25,'Wszystkie punkty'!$I:$I,0)),"")</f>
        <v/>
      </c>
      <c r="N25" s="25" t="str">
        <f>IFERROR(INDEX('Wszystkie punkty'!$G:$G,MATCH(A25,'Wszystkie punkty'!$I:$I,0)),"")</f>
        <v/>
      </c>
    </row>
    <row r="26" spans="1:14" ht="18" customHeight="1" x14ac:dyDescent="0.3">
      <c r="A26" s="31" t="s">
        <v>42</v>
      </c>
      <c r="B26" s="32"/>
      <c r="C26" s="17"/>
      <c r="D26" s="33" t="str">
        <f>IFERROR(IF(OR(C26="",$F$6="",$F$8=""),"",ROUND(DEGREES(ASIN($F$6*SIN(RADIANS($F$5-C26))/$F$8)),0)),"")</f>
        <v/>
      </c>
      <c r="E26" s="33" t="str">
        <f>IFERROR(IF(OR(C26="",D26=""),"",MOD(ROUND(C26+D26,0)+360,360)),"")</f>
        <v/>
      </c>
      <c r="F26" s="19" t="str">
        <f>IFERROR(IF(OR(M25="",M27="",N25="",N27=""),"",ROUND(ACOS(MIN(1,SIN(RADIANS(M25))*SIN(RADIANS(M27))+COS(RADIANS(M25))*COS(RADIANS(M27))*COS(RADIANS(N27-N25))))*3440.065,1)),"")</f>
        <v/>
      </c>
      <c r="G26" s="33" t="str">
        <f>IFERROR(IF(OR(C26="",$F$8=""),"",ROUND($F$8*COS(RADIANS(D26))-$F$6*COS(RADIANS($F$5-C26)),0)),"")</f>
        <v/>
      </c>
      <c r="H26" s="33" t="str">
        <f>IFERROR(IF(OR(F26="",G26="",G26&lt;=0),"",ROUND(F26/G26*60,0)),"")</f>
        <v/>
      </c>
      <c r="I26" s="34" t="str">
        <f>IFERROR(IF(OR(H26="",I24=""),"",I24+H26/1440),"")</f>
        <v/>
      </c>
      <c r="J26" s="30"/>
      <c r="K26" s="2"/>
      <c r="L26" s="2"/>
    </row>
    <row r="27" spans="1:14" ht="21.75" customHeight="1" x14ac:dyDescent="0.3">
      <c r="A27" s="23"/>
      <c r="B27" s="24"/>
      <c r="C27" s="3" t="str">
        <f>IF(A27="","",IFERROR(HYPERLINK("#"&amp;"'Wszystkie punkty'!A"&amp;MATCH(A27,'Wszystkie punkty'!$I:$I,0),"↗  Pokaż w bazie  ('Wszystkie punkty')"),"(brak w bazie)"))</f>
        <v/>
      </c>
      <c r="D27" s="3"/>
      <c r="E27" s="3"/>
      <c r="F27" s="3"/>
      <c r="G27" s="3"/>
      <c r="H27" s="3"/>
      <c r="I27" s="3"/>
      <c r="J27" s="3"/>
      <c r="K27" s="17"/>
      <c r="L27" s="17"/>
      <c r="M27" s="25" t="str">
        <f>IFERROR(INDEX('Wszystkie punkty'!$F:$F,MATCH(A27,'Wszystkie punkty'!$I:$I,0)),"")</f>
        <v/>
      </c>
      <c r="N27" s="25" t="str">
        <f>IFERROR(INDEX('Wszystkie punkty'!$G:$G,MATCH(A27,'Wszystkie punkty'!$I:$I,0)),"")</f>
        <v/>
      </c>
    </row>
    <row r="28" spans="1:14" ht="18" customHeight="1" x14ac:dyDescent="0.3">
      <c r="A28" s="26" t="s">
        <v>42</v>
      </c>
      <c r="B28" s="27"/>
      <c r="C28" s="17"/>
      <c r="D28" s="28" t="str">
        <f>IFERROR(IF(OR(C28="",$F$6="",$F$8=""),"",ROUND(DEGREES(ASIN($F$6*SIN(RADIANS($F$5-C28))/$F$8)),0)),"")</f>
        <v/>
      </c>
      <c r="E28" s="28" t="str">
        <f>IFERROR(IF(OR(C28="",D28=""),"",MOD(ROUND(C28+D28,0)+360,360)),"")</f>
        <v/>
      </c>
      <c r="F28" s="19" t="str">
        <f>IFERROR(IF(OR(M27="",M29="",N27="",N29=""),"",ROUND(ACOS(MIN(1,SIN(RADIANS(M27))*SIN(RADIANS(M29))+COS(RADIANS(M27))*COS(RADIANS(M29))*COS(RADIANS(N29-N27))))*3440.065,1)),"")</f>
        <v/>
      </c>
      <c r="G28" s="28" t="str">
        <f>IFERROR(IF(OR(C28="",$F$8=""),"",ROUND($F$8*COS(RADIANS(D28))-$F$6*COS(RADIANS($F$5-C28)),0)),"")</f>
        <v/>
      </c>
      <c r="H28" s="28" t="str">
        <f>IFERROR(IF(OR(F28="",G28="",G28&lt;=0),"",ROUND(F28/G28*60,0)),"")</f>
        <v/>
      </c>
      <c r="I28" s="29" t="str">
        <f>IFERROR(IF(OR(H28="",I26=""),"",I26+H28/1440),"")</f>
        <v/>
      </c>
      <c r="J28" s="30"/>
      <c r="K28" s="2"/>
      <c r="L28" s="2"/>
    </row>
    <row r="29" spans="1:14" ht="21.75" customHeight="1" x14ac:dyDescent="0.3">
      <c r="A29" s="23"/>
      <c r="B29" s="24"/>
      <c r="C29" s="3" t="str">
        <f>IF(A29="","",IFERROR(HYPERLINK("#"&amp;"'Wszystkie punkty'!A"&amp;MATCH(A29,'Wszystkie punkty'!$I:$I,0),"↗  Pokaż w bazie  ('Wszystkie punkty')"),"(brak w bazie)"))</f>
        <v/>
      </c>
      <c r="D29" s="3"/>
      <c r="E29" s="3"/>
      <c r="F29" s="3"/>
      <c r="G29" s="3"/>
      <c r="H29" s="3"/>
      <c r="I29" s="3"/>
      <c r="J29" s="3"/>
      <c r="K29" s="17"/>
      <c r="L29" s="17"/>
      <c r="M29" s="25" t="str">
        <f>IFERROR(INDEX('Wszystkie punkty'!$F:$F,MATCH(A29,'Wszystkie punkty'!$I:$I,0)),"")</f>
        <v/>
      </c>
      <c r="N29" s="25" t="str">
        <f>IFERROR(INDEX('Wszystkie punkty'!$G:$G,MATCH(A29,'Wszystkie punkty'!$I:$I,0)),"")</f>
        <v/>
      </c>
    </row>
    <row r="30" spans="1:14" ht="18" customHeight="1" x14ac:dyDescent="0.3">
      <c r="A30" s="31" t="s">
        <v>42</v>
      </c>
      <c r="B30" s="32"/>
      <c r="C30" s="17"/>
      <c r="D30" s="33" t="str">
        <f>IFERROR(IF(OR(C30="",$F$6="",$F$8=""),"",ROUND(DEGREES(ASIN($F$6*SIN(RADIANS($F$5-C30))/$F$8)),0)),"")</f>
        <v/>
      </c>
      <c r="E30" s="33" t="str">
        <f>IFERROR(IF(OR(C30="",D30=""),"",MOD(ROUND(C30+D30,0)+360,360)),"")</f>
        <v/>
      </c>
      <c r="F30" s="19" t="str">
        <f>IFERROR(IF(OR(M29="",M31="",N29="",N31=""),"",ROUND(ACOS(MIN(1,SIN(RADIANS(M29))*SIN(RADIANS(M31))+COS(RADIANS(M29))*COS(RADIANS(M31))*COS(RADIANS(N31-N29))))*3440.065,1)),"")</f>
        <v/>
      </c>
      <c r="G30" s="33" t="str">
        <f>IFERROR(IF(OR(C30="",$F$8=""),"",ROUND($F$8*COS(RADIANS(D30))-$F$6*COS(RADIANS($F$5-C30)),0)),"")</f>
        <v/>
      </c>
      <c r="H30" s="33" t="str">
        <f>IFERROR(IF(OR(F30="",G30="",G30&lt;=0),"",ROUND(F30/G30*60,0)),"")</f>
        <v/>
      </c>
      <c r="I30" s="34" t="str">
        <f>IFERROR(IF(OR(H30="",I28=""),"",I28+H30/1440),"")</f>
        <v/>
      </c>
      <c r="J30" s="30"/>
      <c r="K30" s="2"/>
      <c r="L30" s="2"/>
    </row>
    <row r="31" spans="1:14" ht="21.75" customHeight="1" x14ac:dyDescent="0.3">
      <c r="A31" s="23"/>
      <c r="B31" s="24"/>
      <c r="C31" s="3" t="str">
        <f>IF(A31="","",IFERROR(HYPERLINK("#"&amp;"'Wszystkie punkty'!A"&amp;MATCH(A31,'Wszystkie punkty'!$I:$I,0),"↗  Pokaż w bazie  ('Wszystkie punkty')"),"(brak w bazie)"))</f>
        <v/>
      </c>
      <c r="D31" s="3"/>
      <c r="E31" s="3"/>
      <c r="F31" s="3"/>
      <c r="G31" s="3"/>
      <c r="H31" s="3"/>
      <c r="I31" s="3"/>
      <c r="J31" s="3"/>
      <c r="K31" s="17"/>
      <c r="L31" s="17"/>
      <c r="M31" s="25" t="str">
        <f>IFERROR(INDEX('Wszystkie punkty'!$F:$F,MATCH(A31,'Wszystkie punkty'!$I:$I,0)),"")</f>
        <v/>
      </c>
      <c r="N31" s="25" t="str">
        <f>IFERROR(INDEX('Wszystkie punkty'!$G:$G,MATCH(A31,'Wszystkie punkty'!$I:$I,0)),"")</f>
        <v/>
      </c>
    </row>
    <row r="32" spans="1:14" ht="18" customHeight="1" x14ac:dyDescent="0.3">
      <c r="A32" s="26" t="s">
        <v>42</v>
      </c>
      <c r="B32" s="27"/>
      <c r="C32" s="17"/>
      <c r="D32" s="28" t="str">
        <f>IFERROR(IF(OR(C32="",$F$6="",$F$8=""),"",ROUND(DEGREES(ASIN($F$6*SIN(RADIANS($F$5-C32))/$F$8)),0)),"")</f>
        <v/>
      </c>
      <c r="E32" s="28" t="str">
        <f>IFERROR(IF(OR(C32="",D32=""),"",MOD(ROUND(C32+D32,0)+360,360)),"")</f>
        <v/>
      </c>
      <c r="F32" s="19" t="str">
        <f>IFERROR(IF(OR(M31="",M33="",N31="",N33=""),"",ROUND(ACOS(MIN(1,SIN(RADIANS(M31))*SIN(RADIANS(M33))+COS(RADIANS(M31))*COS(RADIANS(M33))*COS(RADIANS(N33-N31))))*3440.065,1)),"")</f>
        <v/>
      </c>
      <c r="G32" s="28" t="str">
        <f>IFERROR(IF(OR(C32="",$F$8=""),"",ROUND($F$8*COS(RADIANS(D32))-$F$6*COS(RADIANS($F$5-C32)),0)),"")</f>
        <v/>
      </c>
      <c r="H32" s="28" t="str">
        <f>IFERROR(IF(OR(F32="",G32="",G32&lt;=0),"",ROUND(F32/G32*60,0)),"")</f>
        <v/>
      </c>
      <c r="I32" s="29" t="str">
        <f>IFERROR(IF(OR(H32="",I30=""),"",I30+H32/1440),"")</f>
        <v/>
      </c>
      <c r="J32" s="30"/>
      <c r="K32" s="2"/>
      <c r="L32" s="2"/>
    </row>
    <row r="33" spans="1:14" ht="21.75" customHeight="1" x14ac:dyDescent="0.3">
      <c r="A33" s="23"/>
      <c r="B33" s="24"/>
      <c r="C33" s="3" t="str">
        <f>IF(A33="","",IFERROR(HYPERLINK("#"&amp;"'Wszystkie punkty'!A"&amp;MATCH(A33,'Wszystkie punkty'!$I:$I,0),"↗  Pokaż w bazie  ('Wszystkie punkty')"),"(brak w bazie)"))</f>
        <v/>
      </c>
      <c r="D33" s="3"/>
      <c r="E33" s="3"/>
      <c r="F33" s="3"/>
      <c r="G33" s="3"/>
      <c r="H33" s="3"/>
      <c r="I33" s="3"/>
      <c r="J33" s="3"/>
      <c r="K33" s="17"/>
      <c r="L33" s="17"/>
      <c r="M33" s="25" t="str">
        <f>IFERROR(INDEX('Wszystkie punkty'!$F:$F,MATCH(A33,'Wszystkie punkty'!$I:$I,0)),"")</f>
        <v/>
      </c>
      <c r="N33" s="25" t="str">
        <f>IFERROR(INDEX('Wszystkie punkty'!$G:$G,MATCH(A33,'Wszystkie punkty'!$I:$I,0)),"")</f>
        <v/>
      </c>
    </row>
    <row r="34" spans="1:14" ht="21.75" customHeight="1" x14ac:dyDescent="0.3">
      <c r="A34" s="35" t="s">
        <v>43</v>
      </c>
      <c r="B34" s="36"/>
      <c r="C34" s="36"/>
      <c r="D34" s="36"/>
      <c r="E34" s="36"/>
      <c r="F34" s="37">
        <f>SUM(F16:F32)</f>
        <v>0</v>
      </c>
      <c r="G34" s="36"/>
      <c r="H34" s="38">
        <f>SUM(H16:H32)</f>
        <v>0</v>
      </c>
      <c r="I34" s="39" t="str">
        <f>IFERROR(LOOKUP(2,1/(I16:I32&lt;&gt;""),I16:I32),"")</f>
        <v/>
      </c>
      <c r="J34" s="40"/>
      <c r="K34" s="40"/>
      <c r="L34" s="40"/>
    </row>
    <row r="35" spans="1:14" ht="18" customHeight="1" x14ac:dyDescent="0.3">
      <c r="A35" s="1" t="s">
        <v>44</v>
      </c>
      <c r="B35" s="1"/>
      <c r="C35" s="1"/>
      <c r="D35" s="1"/>
      <c r="E35" s="1"/>
      <c r="F35" s="1"/>
      <c r="G35" s="1" t="s">
        <v>45</v>
      </c>
      <c r="H35" s="1"/>
      <c r="I35" s="1"/>
      <c r="J35" s="1"/>
      <c r="K35" s="1"/>
      <c r="L35" s="1"/>
    </row>
    <row r="36" spans="1:14" ht="19.5" customHeight="1" x14ac:dyDescent="0.3">
      <c r="A36" s="76" t="s">
        <v>46</v>
      </c>
      <c r="B36" s="76"/>
      <c r="C36" s="76"/>
      <c r="D36" s="18">
        <f>IFERROR(ROUND(H34/60*$F$11,1),"")</f>
        <v>0</v>
      </c>
      <c r="E36" s="77"/>
      <c r="F36" s="77"/>
      <c r="G36" s="76" t="s">
        <v>47</v>
      </c>
      <c r="H36" s="76"/>
      <c r="I36" s="6"/>
      <c r="J36" s="6"/>
      <c r="K36" s="6"/>
      <c r="L36" s="6"/>
    </row>
    <row r="37" spans="1:14" ht="19.5" customHeight="1" x14ac:dyDescent="0.3">
      <c r="A37" s="76" t="s">
        <v>48</v>
      </c>
      <c r="B37" s="76"/>
      <c r="C37" s="76"/>
      <c r="D37" s="18">
        <f>IFERROR(ROUND(30/60*$F$11,1),"")</f>
        <v>0</v>
      </c>
      <c r="E37" s="77"/>
      <c r="F37" s="77"/>
      <c r="G37" s="76" t="s">
        <v>49</v>
      </c>
      <c r="H37" s="76"/>
      <c r="I37" s="6"/>
      <c r="J37" s="6"/>
      <c r="K37" s="6"/>
      <c r="L37" s="6"/>
    </row>
    <row r="38" spans="1:14" ht="19.5" customHeight="1" x14ac:dyDescent="0.3">
      <c r="A38" s="76" t="s">
        <v>50</v>
      </c>
      <c r="B38" s="76"/>
      <c r="C38" s="76"/>
      <c r="D38" s="41">
        <f>IFERROR(D36+D37,"")</f>
        <v>0</v>
      </c>
      <c r="E38" s="77"/>
      <c r="F38" s="77"/>
      <c r="G38" s="76" t="s">
        <v>51</v>
      </c>
      <c r="H38" s="76"/>
      <c r="I38" s="6"/>
      <c r="J38" s="6"/>
      <c r="K38" s="6"/>
      <c r="L38" s="6"/>
    </row>
    <row r="39" spans="1:14" ht="18" customHeight="1" x14ac:dyDescent="0.3">
      <c r="A39" s="1" t="s">
        <v>52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4" ht="21.75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4" ht="21.75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4" ht="13.5" customHeight="1" x14ac:dyDescent="0.3">
      <c r="A42" s="12" t="s">
        <v>53</v>
      </c>
      <c r="B42" s="12"/>
      <c r="C42" s="12"/>
      <c r="D42" s="12"/>
      <c r="E42" s="12"/>
      <c r="F42" s="12"/>
      <c r="G42" s="12" t="s">
        <v>54</v>
      </c>
      <c r="H42" s="12"/>
      <c r="I42" s="12"/>
      <c r="J42" s="12"/>
      <c r="K42" s="12"/>
      <c r="L42" s="12"/>
    </row>
    <row r="43" spans="1:14" ht="27.75" customHeight="1" x14ac:dyDescent="0.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</row>
  </sheetData>
  <sheetProtection sheet="1" formatCells="0" formatColumns="0" formatRows="0"/>
  <mergeCells count="87">
    <mergeCell ref="A40:L41"/>
    <mergeCell ref="A42:F42"/>
    <mergeCell ref="G42:L42"/>
    <mergeCell ref="A43:F43"/>
    <mergeCell ref="G43:L43"/>
    <mergeCell ref="A38:C38"/>
    <mergeCell ref="E38:F38"/>
    <mergeCell ref="G38:H38"/>
    <mergeCell ref="I38:L38"/>
    <mergeCell ref="A39:L39"/>
    <mergeCell ref="A36:C36"/>
    <mergeCell ref="E36:F36"/>
    <mergeCell ref="G36:H36"/>
    <mergeCell ref="I36:L36"/>
    <mergeCell ref="A37:C37"/>
    <mergeCell ref="E37:F37"/>
    <mergeCell ref="G37:H37"/>
    <mergeCell ref="I37:L37"/>
    <mergeCell ref="C31:J31"/>
    <mergeCell ref="K32:L32"/>
    <mergeCell ref="C33:J33"/>
    <mergeCell ref="A35:F35"/>
    <mergeCell ref="G35:L35"/>
    <mergeCell ref="K26:L26"/>
    <mergeCell ref="C27:J27"/>
    <mergeCell ref="K28:L28"/>
    <mergeCell ref="C29:J29"/>
    <mergeCell ref="K30:L30"/>
    <mergeCell ref="C21:J21"/>
    <mergeCell ref="K22:L22"/>
    <mergeCell ref="C23:J23"/>
    <mergeCell ref="K24:L24"/>
    <mergeCell ref="C25:J25"/>
    <mergeCell ref="K16:L16"/>
    <mergeCell ref="C17:J17"/>
    <mergeCell ref="K18:L18"/>
    <mergeCell ref="C19:J19"/>
    <mergeCell ref="K20:L20"/>
    <mergeCell ref="D12:E12"/>
    <mergeCell ref="F12:G12"/>
    <mergeCell ref="H12:I12"/>
    <mergeCell ref="J12:L12"/>
    <mergeCell ref="C15:J15"/>
    <mergeCell ref="D10:E10"/>
    <mergeCell ref="F10:G10"/>
    <mergeCell ref="H10:I10"/>
    <mergeCell ref="J10:L10"/>
    <mergeCell ref="D11:E11"/>
    <mergeCell ref="F11:G11"/>
    <mergeCell ref="H11:I11"/>
    <mergeCell ref="J11:L11"/>
    <mergeCell ref="D8:E8"/>
    <mergeCell ref="F8:G8"/>
    <mergeCell ref="H8:I8"/>
    <mergeCell ref="J8:L8"/>
    <mergeCell ref="D9:E9"/>
    <mergeCell ref="F9:G9"/>
    <mergeCell ref="H9:I9"/>
    <mergeCell ref="J9:L9"/>
    <mergeCell ref="A4:C4"/>
    <mergeCell ref="D4:G4"/>
    <mergeCell ref="H4:L4"/>
    <mergeCell ref="A5:C12"/>
    <mergeCell ref="D5:E5"/>
    <mergeCell ref="F5:G5"/>
    <mergeCell ref="H5:I5"/>
    <mergeCell ref="J5:L5"/>
    <mergeCell ref="D6:E6"/>
    <mergeCell ref="F6:G6"/>
    <mergeCell ref="H6:I6"/>
    <mergeCell ref="J6:L6"/>
    <mergeCell ref="D7:E7"/>
    <mergeCell ref="F7:G7"/>
    <mergeCell ref="H7:I7"/>
    <mergeCell ref="J7:L7"/>
    <mergeCell ref="C3:D3"/>
    <mergeCell ref="E3:F3"/>
    <mergeCell ref="G3:H3"/>
    <mergeCell ref="I3:J3"/>
    <mergeCell ref="K3:L3"/>
    <mergeCell ref="A1:B1"/>
    <mergeCell ref="C1:L1"/>
    <mergeCell ref="C2:D2"/>
    <mergeCell ref="E2:F2"/>
    <mergeCell ref="G2:H2"/>
    <mergeCell ref="I2:J2"/>
    <mergeCell ref="K2:L2"/>
  </mergeCells>
  <printOptions horizontalCentered="1"/>
  <pageMargins left="0.25" right="0.25" top="0.35" bottom="0.3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Nieznany punkt" error="Wybierz punkt z listy lub zostaw puste._x000a__x000a_Lista: Wszystkie punkty (kolumna Display)" promptTitle="Waypoint" prompt="Wybierz punkt VFR (PUNKT/ICAO) lub lotnisko (ICAO ARP)._x000a_Po wyborze odległość DIST policzy się sama z Lat/Lon." xr:uid="{00000000-0002-0000-0000-000000000000}">
          <x14:formula1>
            <xm:f>'Wszystkie punkty'!$I$4:$I$400</xm:f>
          </x14:formula1>
          <x14:formula2>
            <xm:f>0</xm:f>
          </x14:formula2>
          <xm:sqref>A15 A17 A19 A21 A23 A25 A27 A29 A31 A33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E1960-BEE2-4FDE-BE3B-620C0312BADA}">
  <sheetPr>
    <pageSetUpPr fitToPage="1"/>
  </sheetPr>
  <dimension ref="A1:N43"/>
  <sheetViews>
    <sheetView showGridLines="0" tabSelected="1" zoomScaleNormal="100" workbookViewId="0">
      <pane ySplit="14" topLeftCell="A15" activePane="bottomLeft" state="frozen"/>
      <selection pane="bottomLeft" activeCell="C16" sqref="C16"/>
    </sheetView>
  </sheetViews>
  <sheetFormatPr defaultColWidth="8.6640625" defaultRowHeight="14.4" x14ac:dyDescent="0.3"/>
  <cols>
    <col min="1" max="1" width="18" customWidth="1"/>
    <col min="2" max="2" width="11" customWidth="1"/>
    <col min="3" max="7" width="8" customWidth="1"/>
    <col min="8" max="8" width="9" customWidth="1"/>
    <col min="9" max="10" width="10" customWidth="1"/>
    <col min="11" max="12" width="8" customWidth="1"/>
    <col min="13" max="14" width="13" hidden="1" customWidth="1"/>
  </cols>
  <sheetData>
    <row r="1" spans="1:14" ht="36" customHeight="1" thickBot="1" x14ac:dyDescent="0.35">
      <c r="A1" s="14" t="s">
        <v>0</v>
      </c>
      <c r="B1" s="14"/>
      <c r="C1" s="13" t="s">
        <v>1</v>
      </c>
      <c r="D1" s="13"/>
      <c r="E1" s="13"/>
      <c r="F1" s="13"/>
      <c r="G1" s="13"/>
      <c r="H1" s="13"/>
      <c r="I1" s="13"/>
      <c r="J1" s="13"/>
      <c r="K1" s="13"/>
      <c r="L1" s="13"/>
    </row>
    <row r="2" spans="1:14" ht="13.5" customHeight="1" x14ac:dyDescent="0.3">
      <c r="A2" s="15" t="s">
        <v>2</v>
      </c>
      <c r="B2" s="15" t="s">
        <v>3</v>
      </c>
      <c r="C2" s="12" t="s">
        <v>4</v>
      </c>
      <c r="D2" s="12"/>
      <c r="E2" s="12" t="s">
        <v>5</v>
      </c>
      <c r="F2" s="12"/>
      <c r="G2" s="12" t="s">
        <v>6</v>
      </c>
      <c r="H2" s="12"/>
      <c r="I2" s="12" t="s">
        <v>7</v>
      </c>
      <c r="J2" s="12"/>
      <c r="K2" s="12" t="s">
        <v>8</v>
      </c>
      <c r="L2" s="12"/>
    </row>
    <row r="3" spans="1:14" ht="21.75" customHeight="1" thickBot="1" x14ac:dyDescent="0.35">
      <c r="A3" s="16"/>
      <c r="B3" s="16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4" ht="19.5" customHeight="1" thickBot="1" x14ac:dyDescent="0.35">
      <c r="A4" s="10" t="s">
        <v>9</v>
      </c>
      <c r="B4" s="10"/>
      <c r="C4" s="10"/>
      <c r="D4" s="10" t="s">
        <v>10</v>
      </c>
      <c r="E4" s="10"/>
      <c r="F4" s="10"/>
      <c r="G4" s="10"/>
      <c r="H4" s="10" t="s">
        <v>11</v>
      </c>
      <c r="I4" s="10"/>
      <c r="J4" s="10"/>
      <c r="K4" s="10"/>
      <c r="L4" s="10"/>
    </row>
    <row r="5" spans="1:14" ht="16.5" customHeight="1" x14ac:dyDescent="0.3">
      <c r="A5" s="9"/>
      <c r="B5" s="9"/>
      <c r="C5" s="9"/>
      <c r="D5" s="8" t="s">
        <v>12</v>
      </c>
      <c r="E5" s="8"/>
      <c r="F5" s="7">
        <v>10</v>
      </c>
      <c r="G5" s="7"/>
      <c r="H5" s="8" t="s">
        <v>13</v>
      </c>
      <c r="I5" s="8"/>
      <c r="J5" s="6"/>
      <c r="K5" s="6"/>
      <c r="L5" s="6"/>
    </row>
    <row r="6" spans="1:14" ht="16.5" customHeight="1" x14ac:dyDescent="0.3">
      <c r="A6" s="9"/>
      <c r="B6" s="9"/>
      <c r="C6" s="9"/>
      <c r="D6" s="8" t="s">
        <v>14</v>
      </c>
      <c r="E6" s="8"/>
      <c r="F6" s="7">
        <v>10</v>
      </c>
      <c r="G6" s="7"/>
      <c r="H6" s="8" t="s">
        <v>15</v>
      </c>
      <c r="I6" s="8"/>
      <c r="J6" s="6"/>
      <c r="K6" s="6"/>
      <c r="L6" s="6"/>
    </row>
    <row r="7" spans="1:14" ht="16.5" customHeight="1" x14ac:dyDescent="0.3">
      <c r="A7" s="9"/>
      <c r="B7" s="9"/>
      <c r="C7" s="9"/>
      <c r="D7" s="8" t="s">
        <v>16</v>
      </c>
      <c r="E7" s="8"/>
      <c r="F7" s="7">
        <v>75</v>
      </c>
      <c r="G7" s="7"/>
      <c r="H7" s="8" t="s">
        <v>17</v>
      </c>
      <c r="I7" s="8"/>
      <c r="J7" s="6"/>
      <c r="K7" s="6"/>
      <c r="L7" s="6"/>
    </row>
    <row r="8" spans="1:14" ht="16.5" customHeight="1" x14ac:dyDescent="0.3">
      <c r="A8" s="9"/>
      <c r="B8" s="9"/>
      <c r="C8" s="9"/>
      <c r="D8" s="8" t="s">
        <v>18</v>
      </c>
      <c r="E8" s="8"/>
      <c r="F8" s="5">
        <f>IFERROR(IF(OR(F7="",L15=""),F7,F7*(1+0.02*L15/1000)),F7)</f>
        <v>75</v>
      </c>
      <c r="G8" s="5"/>
      <c r="H8" s="8" t="s">
        <v>19</v>
      </c>
      <c r="I8" s="8"/>
      <c r="J8" s="6"/>
      <c r="K8" s="6"/>
      <c r="L8" s="6"/>
    </row>
    <row r="9" spans="1:14" ht="16.5" customHeight="1" x14ac:dyDescent="0.3">
      <c r="A9" s="9"/>
      <c r="B9" s="9"/>
      <c r="C9" s="9"/>
      <c r="D9" s="8" t="s">
        <v>20</v>
      </c>
      <c r="E9" s="8"/>
      <c r="F9" s="7"/>
      <c r="G9" s="7"/>
      <c r="H9" s="8" t="s">
        <v>21</v>
      </c>
      <c r="I9" s="8"/>
      <c r="J9" s="6"/>
      <c r="K9" s="6"/>
      <c r="L9" s="6"/>
    </row>
    <row r="10" spans="1:14" ht="16.5" customHeight="1" x14ac:dyDescent="0.3">
      <c r="A10" s="9"/>
      <c r="B10" s="9"/>
      <c r="C10" s="9"/>
      <c r="D10" s="8" t="s">
        <v>22</v>
      </c>
      <c r="E10" s="8"/>
      <c r="F10" s="7"/>
      <c r="G10" s="7"/>
      <c r="H10" s="8" t="s">
        <v>23</v>
      </c>
      <c r="I10" s="8"/>
      <c r="J10" s="6"/>
      <c r="K10" s="6"/>
      <c r="L10" s="6"/>
    </row>
    <row r="11" spans="1:14" ht="16.5" customHeight="1" x14ac:dyDescent="0.3">
      <c r="A11" s="9"/>
      <c r="B11" s="9"/>
      <c r="C11" s="9"/>
      <c r="D11" s="8" t="s">
        <v>24</v>
      </c>
      <c r="E11" s="8"/>
      <c r="F11" s="4"/>
      <c r="G11" s="4"/>
      <c r="H11" s="8" t="s">
        <v>25</v>
      </c>
      <c r="I11" s="8"/>
      <c r="J11" s="6"/>
      <c r="K11" s="6"/>
      <c r="L11" s="6"/>
    </row>
    <row r="12" spans="1:14" ht="16.5" customHeight="1" x14ac:dyDescent="0.3">
      <c r="A12" s="9"/>
      <c r="B12" s="9"/>
      <c r="C12" s="9"/>
      <c r="D12" s="8" t="s">
        <v>26</v>
      </c>
      <c r="E12" s="8"/>
      <c r="F12" s="7"/>
      <c r="G12" s="7"/>
      <c r="H12" s="8" t="s">
        <v>27</v>
      </c>
      <c r="I12" s="8"/>
      <c r="J12" s="6"/>
      <c r="K12" s="6"/>
      <c r="L12" s="6"/>
    </row>
    <row r="13" spans="1:14" ht="39" customHeight="1" thickBot="1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4" ht="31.5" customHeight="1" thickBot="1" x14ac:dyDescent="0.35">
      <c r="A14" s="21" t="s">
        <v>28</v>
      </c>
      <c r="B14" s="21" t="s">
        <v>29</v>
      </c>
      <c r="C14" s="21" t="s">
        <v>30</v>
      </c>
      <c r="D14" s="21" t="s">
        <v>31</v>
      </c>
      <c r="E14" s="21" t="s">
        <v>32</v>
      </c>
      <c r="F14" s="21" t="s">
        <v>33</v>
      </c>
      <c r="G14" s="21" t="s">
        <v>34</v>
      </c>
      <c r="H14" s="21" t="s">
        <v>35</v>
      </c>
      <c r="I14" s="21" t="s">
        <v>36</v>
      </c>
      <c r="J14" s="21" t="s">
        <v>37</v>
      </c>
      <c r="K14" s="21" t="s">
        <v>38</v>
      </c>
      <c r="L14" s="21" t="s">
        <v>39</v>
      </c>
      <c r="M14" s="22" t="s">
        <v>40</v>
      </c>
      <c r="N14" s="22" t="s">
        <v>41</v>
      </c>
    </row>
    <row r="15" spans="1:14" ht="21.75" customHeight="1" x14ac:dyDescent="0.3">
      <c r="A15" s="23" t="s">
        <v>893</v>
      </c>
      <c r="B15" s="24"/>
      <c r="C15" s="3" t="str">
        <f>IF(A15="","",IFERROR(HYPERLINK("#"&amp;"'Wszystkie punkty'!A"&amp;MATCH(A15,'[1]Wszystkie punkty'!$I:$I,0),"↗  Pokaż w bazie  ('Wszystkie punkty')"),"(brak w bazie)"))</f>
        <v>↗  Pokaż w bazie  ('Wszystkie punkty')</v>
      </c>
      <c r="D15" s="3"/>
      <c r="E15" s="3"/>
      <c r="F15" s="3"/>
      <c r="G15" s="3"/>
      <c r="H15" s="3"/>
      <c r="I15" s="3"/>
      <c r="J15" s="3"/>
      <c r="K15" s="17"/>
      <c r="L15" s="17"/>
      <c r="M15" s="25">
        <f>IFERROR(INDEX('[1]Wszystkie punkty'!$F:$F,MATCH(A15,'[1]Wszystkie punkty'!$I:$I,0)),"")</f>
        <v>52.269193999999999</v>
      </c>
      <c r="N15" s="25">
        <f>IFERROR(INDEX('[1]Wszystkie punkty'!$G:$G,MATCH(A15,'[1]Wszystkie punkty'!$I:$I,0)),"")</f>
        <v>20.907222000000001</v>
      </c>
    </row>
    <row r="16" spans="1:14" ht="18" customHeight="1" x14ac:dyDescent="0.3">
      <c r="A16" s="26" t="s">
        <v>42</v>
      </c>
      <c r="B16" s="27"/>
      <c r="C16" s="17"/>
      <c r="D16" s="28" t="str">
        <f>IFERROR(IF(OR(C16="",$F$6="",$F$8=""),"",ROUND(DEGREES(ASIN($F$6*SIN(RADIANS($F$5-C16))/$F$8)),0)),"")</f>
        <v/>
      </c>
      <c r="E16" s="28" t="str">
        <f>IFERROR(IF(OR(C16="",D16=""),"",MOD(ROUND(C16+D16,0)+360,360)),"")</f>
        <v/>
      </c>
      <c r="F16" s="19">
        <f>IFERROR(IF(OR(M15="",M17="",N15="",N17=""),"",ROUND(ACOS(MIN(1,SIN(RADIANS(M15))*SIN(RADIANS(M17))+COS(RADIANS(M15))*COS(RADIANS(M17))*COS(RADIANS(N17-N15))))*3440.065,1)),"")</f>
        <v>4</v>
      </c>
      <c r="G16" s="28" t="str">
        <f>IFERROR(IF(OR(C16="",$F$8=""),"",ROUND($F$8*COS(RADIANS(D16))-$F$6*COS(RADIANS($F$5-C16)),0)),"")</f>
        <v/>
      </c>
      <c r="H16" s="28" t="str">
        <f>IFERROR(IF(OR(F16="",G16="",G16&lt;=0),"",ROUND(F16/G16*60,0)),"")</f>
        <v/>
      </c>
      <c r="I16" s="29" t="str">
        <f>IFERROR(IF(OR(H16="",$J$7=""),"",$J$7+H16/1440),"")</f>
        <v/>
      </c>
      <c r="J16" s="30"/>
      <c r="K16" s="2"/>
      <c r="L16" s="2"/>
    </row>
    <row r="17" spans="1:14" ht="21.75" customHeight="1" x14ac:dyDescent="0.3">
      <c r="A17" s="23" t="s">
        <v>153</v>
      </c>
      <c r="B17" s="24"/>
      <c r="C17" s="3" t="str">
        <f>IF(A17="","",IFERROR(HYPERLINK("#"&amp;"'Wszystkie punkty'!A"&amp;MATCH(A17,'[1]Wszystkie punkty'!$I:$I,0),"↗  Pokaż w bazie  ('Wszystkie punkty')"),"(brak w bazie)"))</f>
        <v>↗  Pokaż w bazie  ('Wszystkie punkty')</v>
      </c>
      <c r="D17" s="3"/>
      <c r="E17" s="3"/>
      <c r="F17" s="3"/>
      <c r="G17" s="3"/>
      <c r="H17" s="3"/>
      <c r="I17" s="3"/>
      <c r="J17" s="3"/>
      <c r="K17" s="17"/>
      <c r="L17" s="17"/>
      <c r="M17" s="25">
        <f>IFERROR(INDEX('[1]Wszystkie punkty'!$F:$F,MATCH(A17,'[1]Wszystkie punkty'!$I:$I,0)),"")</f>
        <v>52.290280000000003</v>
      </c>
      <c r="N17" s="25">
        <f>IFERROR(INDEX('[1]Wszystkie punkty'!$G:$G,MATCH(A17,'[1]Wszystkie punkty'!$I:$I,0)),"")</f>
        <v>21.010829999999999</v>
      </c>
    </row>
    <row r="18" spans="1:14" ht="18" customHeight="1" x14ac:dyDescent="0.3">
      <c r="A18" s="31" t="s">
        <v>42</v>
      </c>
      <c r="B18" s="32"/>
      <c r="C18" s="17"/>
      <c r="D18" s="33" t="str">
        <f>IFERROR(IF(OR(C18="",$F$6="",$F$8=""),"",ROUND(DEGREES(ASIN($F$6*SIN(RADIANS($F$5-C18))/$F$8)),0)),"")</f>
        <v/>
      </c>
      <c r="E18" s="33" t="str">
        <f>IFERROR(IF(OR(C18="",D18=""),"",MOD(ROUND(C18+D18,0)+360,360)),"")</f>
        <v/>
      </c>
      <c r="F18" s="19">
        <f>IFERROR(IF(OR(M17="",M19="",N17="",N19=""),"",ROUND(ACOS(MIN(1,SIN(RADIANS(M17))*SIN(RADIANS(M19))+COS(RADIANS(M17))*COS(RADIANS(M19))*COS(RADIANS(N19-N17))))*3440.065,1)),"")</f>
        <v>12.3</v>
      </c>
      <c r="G18" s="33" t="str">
        <f>IFERROR(IF(OR(C18="",$F$8=""),"",ROUND($F$8*COS(RADIANS(D18))-$F$6*COS(RADIANS($F$5-C18)),0)),"")</f>
        <v/>
      </c>
      <c r="H18" s="33" t="str">
        <f>IFERROR(IF(OR(F18="",G18="",G18&lt;=0),"",ROUND(F18/G18*60,0)),"")</f>
        <v/>
      </c>
      <c r="I18" s="34" t="str">
        <f>IFERROR(IF(OR(H18="",I16=""),"",I16+H18/1440),"")</f>
        <v/>
      </c>
      <c r="J18" s="30"/>
      <c r="K18" s="2"/>
      <c r="L18" s="2"/>
    </row>
    <row r="19" spans="1:14" ht="21.75" customHeight="1" x14ac:dyDescent="0.3">
      <c r="A19" s="23" t="s">
        <v>499</v>
      </c>
      <c r="B19" s="24"/>
      <c r="C19" s="3" t="str">
        <f>IF(A19="","",IFERROR(HYPERLINK("#"&amp;"'Wszystkie punkty'!A"&amp;MATCH(A19,'[1]Wszystkie punkty'!$I:$I,0),"↗  Pokaż w bazie  ('Wszystkie punkty')"),"(brak w bazie)"))</f>
        <v>↗  Pokaż w bazie  ('Wszystkie punkty')</v>
      </c>
      <c r="D19" s="3"/>
      <c r="E19" s="3"/>
      <c r="F19" s="3"/>
      <c r="G19" s="3"/>
      <c r="H19" s="3"/>
      <c r="I19" s="3"/>
      <c r="J19" s="3"/>
      <c r="K19" s="17"/>
      <c r="L19" s="17"/>
      <c r="M19" s="25">
        <f>IFERROR(INDEX('[1]Wszystkie punkty'!$F:$F,MATCH(A19,'[1]Wszystkie punkty'!$I:$I,0)),"")</f>
        <v>52.488610000000001</v>
      </c>
      <c r="N19" s="25">
        <f>IFERROR(INDEX('[1]Wszystkie punkty'!$G:$G,MATCH(A19,'[1]Wszystkie punkty'!$I:$I,0)),"")</f>
        <v>20.92361</v>
      </c>
    </row>
    <row r="20" spans="1:14" ht="18" customHeight="1" x14ac:dyDescent="0.3">
      <c r="A20" s="26" t="s">
        <v>42</v>
      </c>
      <c r="B20" s="27"/>
      <c r="C20" s="17"/>
      <c r="D20" s="28" t="str">
        <f>IFERROR(IF(OR(C20="",$F$6="",$F$8=""),"",ROUND(DEGREES(ASIN($F$6*SIN(RADIANS($F$5-C20))/$F$8)),0)),"")</f>
        <v/>
      </c>
      <c r="E20" s="28" t="str">
        <f>IFERROR(IF(OR(C20="",D20=""),"",MOD(ROUND(C20+D20,0)+360,360)),"")</f>
        <v/>
      </c>
      <c r="F20" s="19">
        <f>IFERROR(IF(OR(M19="",M21="",N19="",N21=""),"",ROUND(ACOS(MIN(1,SIN(RADIANS(M19))*SIN(RADIANS(M21))+COS(RADIANS(M19))*COS(RADIANS(M21))*COS(RADIANS(N21-N19))))*3440.065,1)),"")</f>
        <v>5.5</v>
      </c>
      <c r="G20" s="28" t="str">
        <f>IFERROR(IF(OR(C20="",$F$8=""),"",ROUND($F$8*COS(RADIANS(D20))-$F$6*COS(RADIANS($F$5-C20)),0)),"")</f>
        <v/>
      </c>
      <c r="H20" s="28" t="str">
        <f>IFERROR(IF(OR(F20="",G20="",G20&lt;=0),"",ROUND(F20/G20*60,0)),"")</f>
        <v/>
      </c>
      <c r="I20" s="29" t="str">
        <f>IFERROR(IF(OR(H20="",I18=""),"",I18+H20/1440),"")</f>
        <v/>
      </c>
      <c r="J20" s="30"/>
      <c r="K20" s="2"/>
      <c r="L20" s="2"/>
    </row>
    <row r="21" spans="1:14" ht="21.75" customHeight="1" x14ac:dyDescent="0.3">
      <c r="A21" s="23" t="s">
        <v>941</v>
      </c>
      <c r="B21" s="24"/>
      <c r="C21" s="3" t="str">
        <f>IF(A21="","",IFERROR(HYPERLINK("#"&amp;"'Wszystkie punkty'!A"&amp;MATCH(A21,'[1]Wszystkie punkty'!$I:$I,0),"↗  Pokaż w bazie  ('Wszystkie punkty')"),"(brak w bazie)"))</f>
        <v>↗  Pokaż w bazie  ('Wszystkie punkty')</v>
      </c>
      <c r="D21" s="3"/>
      <c r="E21" s="3"/>
      <c r="F21" s="3"/>
      <c r="G21" s="3"/>
      <c r="H21" s="3"/>
      <c r="I21" s="3"/>
      <c r="J21" s="3"/>
      <c r="K21" s="17"/>
      <c r="L21" s="17"/>
      <c r="M21" s="25">
        <f>IFERROR(INDEX('[1]Wszystkie punkty'!$F:$F,MATCH(A21,'[1]Wszystkie punkty'!$I:$I,0)),"")</f>
        <v>52.573999999999998</v>
      </c>
      <c r="N21" s="25">
        <f>IFERROR(INDEX('[1]Wszystkie punkty'!$G:$G,MATCH(A21,'[1]Wszystkie punkty'!$I:$I,0)),"")</f>
        <v>20.871917</v>
      </c>
    </row>
    <row r="22" spans="1:14" ht="18" customHeight="1" x14ac:dyDescent="0.3">
      <c r="A22" s="31" t="s">
        <v>42</v>
      </c>
      <c r="B22" s="32"/>
      <c r="C22" s="17"/>
      <c r="D22" s="33" t="str">
        <f>IFERROR(IF(OR(C22="",$F$6="",$F$8=""),"",ROUND(DEGREES(ASIN($F$6*SIN(RADIANS($F$5-C22))/$F$8)),0)),"")</f>
        <v/>
      </c>
      <c r="E22" s="33" t="str">
        <f>IFERROR(IF(OR(C22="",D22=""),"",MOD(ROUND(C22+D22,0)+360,360)),"")</f>
        <v/>
      </c>
      <c r="F22" s="19" t="str">
        <f>IFERROR(IF(OR(M21="",M23="",N21="",N23=""),"",ROUND(ACOS(MIN(1,SIN(RADIANS(M21))*SIN(RADIANS(M23))+COS(RADIANS(M21))*COS(RADIANS(M23))*COS(RADIANS(N23-N21))))*3440.065,1)),"")</f>
        <v/>
      </c>
      <c r="G22" s="33" t="str">
        <f>IFERROR(IF(OR(C22="",$F$8=""),"",ROUND($F$8*COS(RADIANS(D22))-$F$6*COS(RADIANS($F$5-C22)),0)),"")</f>
        <v/>
      </c>
      <c r="H22" s="33" t="str">
        <f>IFERROR(IF(OR(F22="",G22="",G22&lt;=0),"",ROUND(F22/G22*60,0)),"")</f>
        <v/>
      </c>
      <c r="I22" s="34" t="str">
        <f>IFERROR(IF(OR(H22="",I20=""),"",I20+H22/1440),"")</f>
        <v/>
      </c>
      <c r="J22" s="30"/>
      <c r="K22" s="2"/>
      <c r="L22" s="2"/>
    </row>
    <row r="23" spans="1:14" ht="21.75" customHeight="1" x14ac:dyDescent="0.3">
      <c r="A23" s="23"/>
      <c r="B23" s="24"/>
      <c r="C23" s="3" t="str">
        <f>IF(A23="","",IFERROR(HYPERLINK("#"&amp;"'Wszystkie punkty'!A"&amp;MATCH(A23,'[1]Wszystkie punkty'!$I:$I,0),"↗  Pokaż w bazie  ('Wszystkie punkty')"),"(brak w bazie)"))</f>
        <v/>
      </c>
      <c r="D23" s="3"/>
      <c r="E23" s="3"/>
      <c r="F23" s="3"/>
      <c r="G23" s="3"/>
      <c r="H23" s="3"/>
      <c r="I23" s="3"/>
      <c r="J23" s="3"/>
      <c r="K23" s="17"/>
      <c r="L23" s="17"/>
      <c r="M23" s="25" t="str">
        <f>IFERROR(INDEX('[1]Wszystkie punkty'!$F:$F,MATCH(A23,'[1]Wszystkie punkty'!$I:$I,0)),"")</f>
        <v/>
      </c>
      <c r="N23" s="25" t="str">
        <f>IFERROR(INDEX('[1]Wszystkie punkty'!$G:$G,MATCH(A23,'[1]Wszystkie punkty'!$I:$I,0)),"")</f>
        <v/>
      </c>
    </row>
    <row r="24" spans="1:14" ht="18" customHeight="1" x14ac:dyDescent="0.3">
      <c r="A24" s="26" t="s">
        <v>42</v>
      </c>
      <c r="B24" s="27"/>
      <c r="C24" s="17"/>
      <c r="D24" s="28" t="str">
        <f>IFERROR(IF(OR(C24="",$F$6="",$F$8=""),"",ROUND(DEGREES(ASIN($F$6*SIN(RADIANS($F$5-C24))/$F$8)),0)),"")</f>
        <v/>
      </c>
      <c r="E24" s="28" t="str">
        <f>IFERROR(IF(OR(C24="",D24=""),"",MOD(ROUND(C24+D24,0)+360,360)),"")</f>
        <v/>
      </c>
      <c r="F24" s="19" t="str">
        <f>IFERROR(IF(OR(M23="",M25="",N23="",N25=""),"",ROUND(ACOS(MIN(1,SIN(RADIANS(M23))*SIN(RADIANS(M25))+COS(RADIANS(M23))*COS(RADIANS(M25))*COS(RADIANS(N25-N23))))*3440.065,1)),"")</f>
        <v/>
      </c>
      <c r="G24" s="28" t="str">
        <f>IFERROR(IF(OR(C24="",$F$8=""),"",ROUND($F$8*COS(RADIANS(D24))-$F$6*COS(RADIANS($F$5-C24)),0)),"")</f>
        <v/>
      </c>
      <c r="H24" s="28" t="str">
        <f>IFERROR(IF(OR(F24="",G24="",G24&lt;=0),"",ROUND(F24/G24*60,0)),"")</f>
        <v/>
      </c>
      <c r="I24" s="29" t="str">
        <f>IFERROR(IF(OR(H24="",I22=""),"",I22+H24/1440),"")</f>
        <v/>
      </c>
      <c r="J24" s="30"/>
      <c r="K24" s="2"/>
      <c r="L24" s="2"/>
    </row>
    <row r="25" spans="1:14" ht="21.75" customHeight="1" x14ac:dyDescent="0.3">
      <c r="A25" s="23"/>
      <c r="B25" s="24"/>
      <c r="C25" s="3" t="str">
        <f>IF(A25="","",IFERROR(HYPERLINK("#"&amp;"'Wszystkie punkty'!A"&amp;MATCH(A25,'[1]Wszystkie punkty'!$I:$I,0),"↗  Pokaż w bazie  ('Wszystkie punkty')"),"(brak w bazie)"))</f>
        <v/>
      </c>
      <c r="D25" s="3"/>
      <c r="E25" s="3"/>
      <c r="F25" s="3"/>
      <c r="G25" s="3"/>
      <c r="H25" s="3"/>
      <c r="I25" s="3"/>
      <c r="J25" s="3"/>
      <c r="K25" s="17"/>
      <c r="L25" s="17"/>
      <c r="M25" s="25" t="str">
        <f>IFERROR(INDEX('[1]Wszystkie punkty'!$F:$F,MATCH(A25,'[1]Wszystkie punkty'!$I:$I,0)),"")</f>
        <v/>
      </c>
      <c r="N25" s="25" t="str">
        <f>IFERROR(INDEX('[1]Wszystkie punkty'!$G:$G,MATCH(A25,'[1]Wszystkie punkty'!$I:$I,0)),"")</f>
        <v/>
      </c>
    </row>
    <row r="26" spans="1:14" ht="18" customHeight="1" x14ac:dyDescent="0.3">
      <c r="A26" s="31" t="s">
        <v>42</v>
      </c>
      <c r="B26" s="32"/>
      <c r="C26" s="17"/>
      <c r="D26" s="33" t="str">
        <f>IFERROR(IF(OR(C26="",$F$6="",$F$8=""),"",ROUND(DEGREES(ASIN($F$6*SIN(RADIANS($F$5-C26))/$F$8)),0)),"")</f>
        <v/>
      </c>
      <c r="E26" s="33" t="str">
        <f>IFERROR(IF(OR(C26="",D26=""),"",MOD(ROUND(C26+D26,0)+360,360)),"")</f>
        <v/>
      </c>
      <c r="F26" s="19" t="str">
        <f>IFERROR(IF(OR(M25="",M27="",N25="",N27=""),"",ROUND(ACOS(MIN(1,SIN(RADIANS(M25))*SIN(RADIANS(M27))+COS(RADIANS(M25))*COS(RADIANS(M27))*COS(RADIANS(N27-N25))))*3440.065,1)),"")</f>
        <v/>
      </c>
      <c r="G26" s="33" t="str">
        <f>IFERROR(IF(OR(C26="",$F$8=""),"",ROUND($F$8*COS(RADIANS(D26))-$F$6*COS(RADIANS($F$5-C26)),0)),"")</f>
        <v/>
      </c>
      <c r="H26" s="33" t="str">
        <f>IFERROR(IF(OR(F26="",G26="",G26&lt;=0),"",ROUND(F26/G26*60,0)),"")</f>
        <v/>
      </c>
      <c r="I26" s="34" t="str">
        <f>IFERROR(IF(OR(H26="",I24=""),"",I24+H26/1440),"")</f>
        <v/>
      </c>
      <c r="J26" s="30"/>
      <c r="K26" s="2"/>
      <c r="L26" s="2"/>
    </row>
    <row r="27" spans="1:14" ht="21.75" customHeight="1" x14ac:dyDescent="0.3">
      <c r="A27" s="23"/>
      <c r="B27" s="24"/>
      <c r="C27" s="3" t="str">
        <f>IF(A27="","",IFERROR(HYPERLINK("#"&amp;"'Wszystkie punkty'!A"&amp;MATCH(A27,'[1]Wszystkie punkty'!$I:$I,0),"↗  Pokaż w bazie  ('Wszystkie punkty')"),"(brak w bazie)"))</f>
        <v/>
      </c>
      <c r="D27" s="3"/>
      <c r="E27" s="3"/>
      <c r="F27" s="3"/>
      <c r="G27" s="3"/>
      <c r="H27" s="3"/>
      <c r="I27" s="3"/>
      <c r="J27" s="3"/>
      <c r="K27" s="17"/>
      <c r="L27" s="17"/>
      <c r="M27" s="25" t="str">
        <f>IFERROR(INDEX('[1]Wszystkie punkty'!$F:$F,MATCH(A27,'[1]Wszystkie punkty'!$I:$I,0)),"")</f>
        <v/>
      </c>
      <c r="N27" s="25" t="str">
        <f>IFERROR(INDEX('[1]Wszystkie punkty'!$G:$G,MATCH(A27,'[1]Wszystkie punkty'!$I:$I,0)),"")</f>
        <v/>
      </c>
    </row>
    <row r="28" spans="1:14" ht="18" customHeight="1" x14ac:dyDescent="0.3">
      <c r="A28" s="26" t="s">
        <v>42</v>
      </c>
      <c r="B28" s="27"/>
      <c r="C28" s="17"/>
      <c r="D28" s="28" t="str">
        <f>IFERROR(IF(OR(C28="",$F$6="",$F$8=""),"",ROUND(DEGREES(ASIN($F$6*SIN(RADIANS($F$5-C28))/$F$8)),0)),"")</f>
        <v/>
      </c>
      <c r="E28" s="28" t="str">
        <f>IFERROR(IF(OR(C28="",D28=""),"",MOD(ROUND(C28+D28,0)+360,360)),"")</f>
        <v/>
      </c>
      <c r="F28" s="19" t="str">
        <f>IFERROR(IF(OR(M27="",M29="",N27="",N29=""),"",ROUND(ACOS(MIN(1,SIN(RADIANS(M27))*SIN(RADIANS(M29))+COS(RADIANS(M27))*COS(RADIANS(M29))*COS(RADIANS(N29-N27))))*3440.065,1)),"")</f>
        <v/>
      </c>
      <c r="G28" s="28" t="str">
        <f>IFERROR(IF(OR(C28="",$F$8=""),"",ROUND($F$8*COS(RADIANS(D28))-$F$6*COS(RADIANS($F$5-C28)),0)),"")</f>
        <v/>
      </c>
      <c r="H28" s="28" t="str">
        <f>IFERROR(IF(OR(F28="",G28="",G28&lt;=0),"",ROUND(F28/G28*60,0)),"")</f>
        <v/>
      </c>
      <c r="I28" s="29" t="str">
        <f>IFERROR(IF(OR(H28="",I26=""),"",I26+H28/1440),"")</f>
        <v/>
      </c>
      <c r="J28" s="30"/>
      <c r="K28" s="2"/>
      <c r="L28" s="2"/>
    </row>
    <row r="29" spans="1:14" ht="21.75" customHeight="1" x14ac:dyDescent="0.3">
      <c r="A29" s="23"/>
      <c r="B29" s="24"/>
      <c r="C29" s="3" t="str">
        <f>IF(A29="","",IFERROR(HYPERLINK("#"&amp;"'Wszystkie punkty'!A"&amp;MATCH(A29,'[1]Wszystkie punkty'!$I:$I,0),"↗  Pokaż w bazie  ('Wszystkie punkty')"),"(brak w bazie)"))</f>
        <v/>
      </c>
      <c r="D29" s="3"/>
      <c r="E29" s="3"/>
      <c r="F29" s="3"/>
      <c r="G29" s="3"/>
      <c r="H29" s="3"/>
      <c r="I29" s="3"/>
      <c r="J29" s="3"/>
      <c r="K29" s="17"/>
      <c r="L29" s="17"/>
      <c r="M29" s="25" t="str">
        <f>IFERROR(INDEX('[1]Wszystkie punkty'!$F:$F,MATCH(A29,'[1]Wszystkie punkty'!$I:$I,0)),"")</f>
        <v/>
      </c>
      <c r="N29" s="25" t="str">
        <f>IFERROR(INDEX('[1]Wszystkie punkty'!$G:$G,MATCH(A29,'[1]Wszystkie punkty'!$I:$I,0)),"")</f>
        <v/>
      </c>
    </row>
    <row r="30" spans="1:14" ht="18" customHeight="1" x14ac:dyDescent="0.3">
      <c r="A30" s="31" t="s">
        <v>42</v>
      </c>
      <c r="B30" s="32"/>
      <c r="C30" s="17"/>
      <c r="D30" s="33" t="str">
        <f>IFERROR(IF(OR(C30="",$F$6="",$F$8=""),"",ROUND(DEGREES(ASIN($F$6*SIN(RADIANS($F$5-C30))/$F$8)),0)),"")</f>
        <v/>
      </c>
      <c r="E30" s="33" t="str">
        <f>IFERROR(IF(OR(C30="",D30=""),"",MOD(ROUND(C30+D30,0)+360,360)),"")</f>
        <v/>
      </c>
      <c r="F30" s="19" t="str">
        <f>IFERROR(IF(OR(M29="",M31="",N29="",N31=""),"",ROUND(ACOS(MIN(1,SIN(RADIANS(M29))*SIN(RADIANS(M31))+COS(RADIANS(M29))*COS(RADIANS(M31))*COS(RADIANS(N31-N29))))*3440.065,1)),"")</f>
        <v/>
      </c>
      <c r="G30" s="33" t="str">
        <f>IFERROR(IF(OR(C30="",$F$8=""),"",ROUND($F$8*COS(RADIANS(D30))-$F$6*COS(RADIANS($F$5-C30)),0)),"")</f>
        <v/>
      </c>
      <c r="H30" s="33" t="str">
        <f>IFERROR(IF(OR(F30="",G30="",G30&lt;=0),"",ROUND(F30/G30*60,0)),"")</f>
        <v/>
      </c>
      <c r="I30" s="34" t="str">
        <f>IFERROR(IF(OR(H30="",I28=""),"",I28+H30/1440),"")</f>
        <v/>
      </c>
      <c r="J30" s="30"/>
      <c r="K30" s="2"/>
      <c r="L30" s="2"/>
    </row>
    <row r="31" spans="1:14" ht="21.75" customHeight="1" x14ac:dyDescent="0.3">
      <c r="A31" s="23"/>
      <c r="B31" s="24"/>
      <c r="C31" s="3" t="str">
        <f>IF(A31="","",IFERROR(HYPERLINK("#"&amp;"'Wszystkie punkty'!A"&amp;MATCH(A31,'[1]Wszystkie punkty'!$I:$I,0),"↗  Pokaż w bazie  ('Wszystkie punkty')"),"(brak w bazie)"))</f>
        <v/>
      </c>
      <c r="D31" s="3"/>
      <c r="E31" s="3"/>
      <c r="F31" s="3"/>
      <c r="G31" s="3"/>
      <c r="H31" s="3"/>
      <c r="I31" s="3"/>
      <c r="J31" s="3"/>
      <c r="K31" s="17"/>
      <c r="L31" s="17"/>
      <c r="M31" s="25" t="str">
        <f>IFERROR(INDEX('[1]Wszystkie punkty'!$F:$F,MATCH(A31,'[1]Wszystkie punkty'!$I:$I,0)),"")</f>
        <v/>
      </c>
      <c r="N31" s="25" t="str">
        <f>IFERROR(INDEX('[1]Wszystkie punkty'!$G:$G,MATCH(A31,'[1]Wszystkie punkty'!$I:$I,0)),"")</f>
        <v/>
      </c>
    </row>
    <row r="32" spans="1:14" ht="18" customHeight="1" x14ac:dyDescent="0.3">
      <c r="A32" s="26" t="s">
        <v>42</v>
      </c>
      <c r="B32" s="27"/>
      <c r="C32" s="17"/>
      <c r="D32" s="28" t="str">
        <f>IFERROR(IF(OR(C32="",$F$6="",$F$8=""),"",ROUND(DEGREES(ASIN($F$6*SIN(RADIANS($F$5-C32))/$F$8)),0)),"")</f>
        <v/>
      </c>
      <c r="E32" s="28" t="str">
        <f>IFERROR(IF(OR(C32="",D32=""),"",MOD(ROUND(C32+D32,0)+360,360)),"")</f>
        <v/>
      </c>
      <c r="F32" s="19" t="str">
        <f>IFERROR(IF(OR(M31="",M33="",N31="",N33=""),"",ROUND(ACOS(MIN(1,SIN(RADIANS(M31))*SIN(RADIANS(M33))+COS(RADIANS(M31))*COS(RADIANS(M33))*COS(RADIANS(N33-N31))))*3440.065,1)),"")</f>
        <v/>
      </c>
      <c r="G32" s="28" t="str">
        <f>IFERROR(IF(OR(C32="",$F$8=""),"",ROUND($F$8*COS(RADIANS(D32))-$F$6*COS(RADIANS($F$5-C32)),0)),"")</f>
        <v/>
      </c>
      <c r="H32" s="28" t="str">
        <f>IFERROR(IF(OR(F32="",G32="",G32&lt;=0),"",ROUND(F32/G32*60,0)),"")</f>
        <v/>
      </c>
      <c r="I32" s="29" t="str">
        <f>IFERROR(IF(OR(H32="",I30=""),"",I30+H32/1440),"")</f>
        <v/>
      </c>
      <c r="J32" s="30"/>
      <c r="K32" s="2"/>
      <c r="L32" s="2"/>
    </row>
    <row r="33" spans="1:14" ht="21.75" customHeight="1" thickBot="1" x14ac:dyDescent="0.35">
      <c r="A33" s="23"/>
      <c r="B33" s="24"/>
      <c r="C33" s="3" t="str">
        <f>IF(A33="","",IFERROR(HYPERLINK("#"&amp;"'Wszystkie punkty'!A"&amp;MATCH(A33,'[1]Wszystkie punkty'!$I:$I,0),"↗  Pokaż w bazie  ('Wszystkie punkty')"),"(brak w bazie)"))</f>
        <v/>
      </c>
      <c r="D33" s="3"/>
      <c r="E33" s="3"/>
      <c r="F33" s="3"/>
      <c r="G33" s="3"/>
      <c r="H33" s="3"/>
      <c r="I33" s="3"/>
      <c r="J33" s="3"/>
      <c r="K33" s="17"/>
      <c r="L33" s="17"/>
      <c r="M33" s="25" t="str">
        <f>IFERROR(INDEX('[1]Wszystkie punkty'!$F:$F,MATCH(A33,'[1]Wszystkie punkty'!$I:$I,0)),"")</f>
        <v/>
      </c>
      <c r="N33" s="25" t="str">
        <f>IFERROR(INDEX('[1]Wszystkie punkty'!$G:$G,MATCH(A33,'[1]Wszystkie punkty'!$I:$I,0)),"")</f>
        <v/>
      </c>
    </row>
    <row r="34" spans="1:14" ht="21.75" customHeight="1" thickBot="1" x14ac:dyDescent="0.35">
      <c r="A34" s="35" t="s">
        <v>43</v>
      </c>
      <c r="B34" s="36"/>
      <c r="C34" s="36"/>
      <c r="D34" s="36"/>
      <c r="E34" s="36"/>
      <c r="F34" s="37">
        <f>SUM(F16:F32)</f>
        <v>21.8</v>
      </c>
      <c r="G34" s="36"/>
      <c r="H34" s="38">
        <f>SUM(H16:H32)</f>
        <v>0</v>
      </c>
      <c r="I34" s="39" t="str">
        <f>IFERROR(LOOKUP(2,1/(I16:I32&lt;&gt;""),I16:I32),"")</f>
        <v/>
      </c>
      <c r="J34" s="40"/>
      <c r="K34" s="40"/>
      <c r="L34" s="40"/>
    </row>
    <row r="35" spans="1:14" ht="18" customHeight="1" x14ac:dyDescent="0.3">
      <c r="A35" s="1" t="s">
        <v>44</v>
      </c>
      <c r="B35" s="1"/>
      <c r="C35" s="1"/>
      <c r="D35" s="1"/>
      <c r="E35" s="1"/>
      <c r="F35" s="1"/>
      <c r="G35" s="1" t="s">
        <v>45</v>
      </c>
      <c r="H35" s="1"/>
      <c r="I35" s="1"/>
      <c r="J35" s="1"/>
      <c r="K35" s="1"/>
      <c r="L35" s="1"/>
    </row>
    <row r="36" spans="1:14" ht="19.5" customHeight="1" x14ac:dyDescent="0.3">
      <c r="A36" s="76" t="s">
        <v>46</v>
      </c>
      <c r="B36" s="76"/>
      <c r="C36" s="76"/>
      <c r="D36" s="18">
        <f>IFERROR(ROUND(H34/60*$F$11,1),"")</f>
        <v>0</v>
      </c>
      <c r="E36" s="77"/>
      <c r="F36" s="77"/>
      <c r="G36" s="76" t="s">
        <v>47</v>
      </c>
      <c r="H36" s="76"/>
      <c r="I36" s="6"/>
      <c r="J36" s="6"/>
      <c r="K36" s="6"/>
      <c r="L36" s="6"/>
    </row>
    <row r="37" spans="1:14" ht="19.5" customHeight="1" thickBot="1" x14ac:dyDescent="0.35">
      <c r="A37" s="76" t="s">
        <v>48</v>
      </c>
      <c r="B37" s="76"/>
      <c r="C37" s="76"/>
      <c r="D37" s="18">
        <f>IFERROR(ROUND(30/60*$F$11,1),"")</f>
        <v>0</v>
      </c>
      <c r="E37" s="77"/>
      <c r="F37" s="77"/>
      <c r="G37" s="76" t="s">
        <v>49</v>
      </c>
      <c r="H37" s="76"/>
      <c r="I37" s="6"/>
      <c r="J37" s="6"/>
      <c r="K37" s="6"/>
      <c r="L37" s="6"/>
    </row>
    <row r="38" spans="1:14" ht="19.5" customHeight="1" thickBot="1" x14ac:dyDescent="0.35">
      <c r="A38" s="76" t="s">
        <v>50</v>
      </c>
      <c r="B38" s="76"/>
      <c r="C38" s="76"/>
      <c r="D38" s="41">
        <f>IFERROR(D36+D37,"")</f>
        <v>0</v>
      </c>
      <c r="E38" s="77"/>
      <c r="F38" s="77"/>
      <c r="G38" s="76" t="s">
        <v>51</v>
      </c>
      <c r="H38" s="76"/>
      <c r="I38" s="6"/>
      <c r="J38" s="6"/>
      <c r="K38" s="6"/>
      <c r="L38" s="6"/>
    </row>
    <row r="39" spans="1:14" ht="18" customHeight="1" x14ac:dyDescent="0.3">
      <c r="A39" s="1" t="s">
        <v>52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4" ht="21.75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4" ht="21.75" customHeight="1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4" ht="13.5" customHeight="1" x14ac:dyDescent="0.3">
      <c r="A42" s="12" t="s">
        <v>53</v>
      </c>
      <c r="B42" s="12"/>
      <c r="C42" s="12"/>
      <c r="D42" s="12"/>
      <c r="E42" s="12"/>
      <c r="F42" s="12"/>
      <c r="G42" s="12" t="s">
        <v>54</v>
      </c>
      <c r="H42" s="12"/>
      <c r="I42" s="12"/>
      <c r="J42" s="12"/>
      <c r="K42" s="12"/>
      <c r="L42" s="12"/>
    </row>
    <row r="43" spans="1:14" ht="27.75" customHeight="1" x14ac:dyDescent="0.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</row>
  </sheetData>
  <sheetProtection sheet="1" formatCells="0" formatColumns="0" formatRows="0"/>
  <mergeCells count="87">
    <mergeCell ref="I2:J2"/>
    <mergeCell ref="K2:L2"/>
    <mergeCell ref="C3:D3"/>
    <mergeCell ref="E3:F3"/>
    <mergeCell ref="G3:H3"/>
    <mergeCell ref="I3:J3"/>
    <mergeCell ref="K3:L3"/>
    <mergeCell ref="A1:B1"/>
    <mergeCell ref="C1:L1"/>
    <mergeCell ref="C2:D2"/>
    <mergeCell ref="E2:F2"/>
    <mergeCell ref="G2:H2"/>
    <mergeCell ref="F6:G6"/>
    <mergeCell ref="H6:I6"/>
    <mergeCell ref="J6:L6"/>
    <mergeCell ref="D7:E7"/>
    <mergeCell ref="F7:G7"/>
    <mergeCell ref="H7:I7"/>
    <mergeCell ref="J7:L7"/>
    <mergeCell ref="J9:L9"/>
    <mergeCell ref="A4:C4"/>
    <mergeCell ref="D4:G4"/>
    <mergeCell ref="H4:L4"/>
    <mergeCell ref="A5:C12"/>
    <mergeCell ref="D5:E5"/>
    <mergeCell ref="F5:G5"/>
    <mergeCell ref="H5:I5"/>
    <mergeCell ref="J5:L5"/>
    <mergeCell ref="D6:E6"/>
    <mergeCell ref="F11:G11"/>
    <mergeCell ref="H11:I11"/>
    <mergeCell ref="J11:L11"/>
    <mergeCell ref="D8:E8"/>
    <mergeCell ref="F8:G8"/>
    <mergeCell ref="H8:I8"/>
    <mergeCell ref="J8:L8"/>
    <mergeCell ref="D9:E9"/>
    <mergeCell ref="F9:G9"/>
    <mergeCell ref="H9:I9"/>
    <mergeCell ref="D12:E12"/>
    <mergeCell ref="F12:G12"/>
    <mergeCell ref="H12:I12"/>
    <mergeCell ref="J12:L12"/>
    <mergeCell ref="C15:J15"/>
    <mergeCell ref="D10:E10"/>
    <mergeCell ref="F10:G10"/>
    <mergeCell ref="H10:I10"/>
    <mergeCell ref="J10:L10"/>
    <mergeCell ref="D11:E11"/>
    <mergeCell ref="C21:J21"/>
    <mergeCell ref="K22:L22"/>
    <mergeCell ref="C23:J23"/>
    <mergeCell ref="K24:L24"/>
    <mergeCell ref="C25:J25"/>
    <mergeCell ref="K16:L16"/>
    <mergeCell ref="C17:J17"/>
    <mergeCell ref="K18:L18"/>
    <mergeCell ref="C19:J19"/>
    <mergeCell ref="K20:L20"/>
    <mergeCell ref="C31:J31"/>
    <mergeCell ref="K32:L32"/>
    <mergeCell ref="C33:J33"/>
    <mergeCell ref="A35:F35"/>
    <mergeCell ref="G35:L35"/>
    <mergeCell ref="K26:L26"/>
    <mergeCell ref="C27:J27"/>
    <mergeCell ref="K28:L28"/>
    <mergeCell ref="C29:J29"/>
    <mergeCell ref="K30:L30"/>
    <mergeCell ref="A36:C36"/>
    <mergeCell ref="E36:F36"/>
    <mergeCell ref="G36:H36"/>
    <mergeCell ref="I36:L36"/>
    <mergeCell ref="A37:C37"/>
    <mergeCell ref="E37:F37"/>
    <mergeCell ref="G37:H37"/>
    <mergeCell ref="I37:L37"/>
    <mergeCell ref="A40:L41"/>
    <mergeCell ref="A42:F42"/>
    <mergeCell ref="G42:L42"/>
    <mergeCell ref="A43:F43"/>
    <mergeCell ref="G43:L43"/>
    <mergeCell ref="A38:C38"/>
    <mergeCell ref="E38:F38"/>
    <mergeCell ref="G38:H38"/>
    <mergeCell ref="I38:L38"/>
    <mergeCell ref="A39:L39"/>
  </mergeCells>
  <printOptions horizontalCentered="1"/>
  <pageMargins left="0.25" right="0.25" top="0.35" bottom="0.3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39"/>
  <sheetViews>
    <sheetView showGridLines="0" zoomScaleNormal="100" workbookViewId="0"/>
  </sheetViews>
  <sheetFormatPr defaultColWidth="8.6640625" defaultRowHeight="14.4" x14ac:dyDescent="0.3"/>
  <cols>
    <col min="1" max="1" width="110" customWidth="1"/>
  </cols>
  <sheetData>
    <row r="2" spans="1:1" ht="25.5" customHeight="1" x14ac:dyDescent="0.3">
      <c r="A2" s="42" t="s">
        <v>55</v>
      </c>
    </row>
    <row r="3" spans="1:1" ht="17.25" customHeight="1" x14ac:dyDescent="0.3">
      <c r="A3" s="43" t="s">
        <v>56</v>
      </c>
    </row>
    <row r="4" spans="1:1" ht="15.75" customHeight="1" x14ac:dyDescent="0.3">
      <c r="A4" s="44"/>
    </row>
    <row r="5" spans="1:1" ht="18.75" customHeight="1" x14ac:dyDescent="0.3">
      <c r="A5" s="45" t="s">
        <v>57</v>
      </c>
    </row>
    <row r="6" spans="1:1" ht="15.75" customHeight="1" x14ac:dyDescent="0.3">
      <c r="A6" s="46" t="s">
        <v>58</v>
      </c>
    </row>
    <row r="7" spans="1:1" ht="15.75" customHeight="1" x14ac:dyDescent="0.3">
      <c r="A7" s="46" t="s">
        <v>59</v>
      </c>
    </row>
    <row r="8" spans="1:1" ht="15.75" customHeight="1" x14ac:dyDescent="0.3">
      <c r="A8" s="46" t="s">
        <v>60</v>
      </c>
    </row>
    <row r="9" spans="1:1" ht="15.75" customHeight="1" x14ac:dyDescent="0.3">
      <c r="A9" s="44"/>
    </row>
    <row r="10" spans="1:1" ht="18.75" customHeight="1" x14ac:dyDescent="0.3">
      <c r="A10" s="45" t="s">
        <v>61</v>
      </c>
    </row>
    <row r="11" spans="1:1" ht="15.75" customHeight="1" x14ac:dyDescent="0.3">
      <c r="A11" s="46" t="s">
        <v>62</v>
      </c>
    </row>
    <row r="12" spans="1:1" ht="15.75" customHeight="1" x14ac:dyDescent="0.3">
      <c r="A12" s="46" t="s">
        <v>63</v>
      </c>
    </row>
    <row r="13" spans="1:1" ht="15.75" customHeight="1" x14ac:dyDescent="0.3">
      <c r="A13" s="46" t="s">
        <v>64</v>
      </c>
    </row>
    <row r="14" spans="1:1" ht="15.75" customHeight="1" x14ac:dyDescent="0.3">
      <c r="A14" s="44"/>
    </row>
    <row r="15" spans="1:1" ht="18.75" customHeight="1" x14ac:dyDescent="0.3">
      <c r="A15" s="45" t="s">
        <v>65</v>
      </c>
    </row>
    <row r="16" spans="1:1" ht="15.75" customHeight="1" x14ac:dyDescent="0.3">
      <c r="A16" s="46" t="s">
        <v>66</v>
      </c>
    </row>
    <row r="17" spans="1:1" ht="15.75" customHeight="1" x14ac:dyDescent="0.3">
      <c r="A17" s="46" t="s">
        <v>67</v>
      </c>
    </row>
    <row r="18" spans="1:1" ht="15.75" customHeight="1" x14ac:dyDescent="0.3">
      <c r="A18" s="46" t="s">
        <v>68</v>
      </c>
    </row>
    <row r="19" spans="1:1" ht="15.75" customHeight="1" x14ac:dyDescent="0.3">
      <c r="A19" s="46" t="s">
        <v>69</v>
      </c>
    </row>
    <row r="20" spans="1:1" ht="15.75" customHeight="1" x14ac:dyDescent="0.3">
      <c r="A20" s="44"/>
    </row>
    <row r="21" spans="1:1" ht="18.75" customHeight="1" x14ac:dyDescent="0.3">
      <c r="A21" s="45" t="s">
        <v>70</v>
      </c>
    </row>
    <row r="22" spans="1:1" ht="15.75" customHeight="1" x14ac:dyDescent="0.3">
      <c r="A22" s="46" t="s">
        <v>71</v>
      </c>
    </row>
    <row r="23" spans="1:1" ht="15.75" customHeight="1" x14ac:dyDescent="0.3">
      <c r="A23" s="46" t="s">
        <v>72</v>
      </c>
    </row>
    <row r="24" spans="1:1" ht="15.75" customHeight="1" x14ac:dyDescent="0.3">
      <c r="A24" s="46" t="s">
        <v>73</v>
      </c>
    </row>
    <row r="25" spans="1:1" ht="15.75" customHeight="1" x14ac:dyDescent="0.3">
      <c r="A25" s="46" t="s">
        <v>74</v>
      </c>
    </row>
    <row r="26" spans="1:1" ht="15.75" customHeight="1" x14ac:dyDescent="0.3">
      <c r="A26" s="46" t="s">
        <v>75</v>
      </c>
    </row>
    <row r="27" spans="1:1" ht="15.75" customHeight="1" x14ac:dyDescent="0.3">
      <c r="A27" s="46" t="s">
        <v>76</v>
      </c>
    </row>
    <row r="29" spans="1:1" ht="15.6" x14ac:dyDescent="0.3">
      <c r="A29" s="47" t="s">
        <v>77</v>
      </c>
    </row>
    <row r="30" spans="1:1" x14ac:dyDescent="0.3">
      <c r="A30" t="s">
        <v>78</v>
      </c>
    </row>
    <row r="31" spans="1:1" x14ac:dyDescent="0.3">
      <c r="A31" t="s">
        <v>79</v>
      </c>
    </row>
    <row r="32" spans="1:1" x14ac:dyDescent="0.3">
      <c r="A32" t="s">
        <v>80</v>
      </c>
    </row>
    <row r="33" spans="1:1" x14ac:dyDescent="0.3">
      <c r="A33" t="s">
        <v>81</v>
      </c>
    </row>
    <row r="34" spans="1:1" x14ac:dyDescent="0.3">
      <c r="A34" t="s">
        <v>82</v>
      </c>
    </row>
    <row r="35" spans="1:1" x14ac:dyDescent="0.3">
      <c r="A35" t="s">
        <v>83</v>
      </c>
    </row>
    <row r="36" spans="1:1" x14ac:dyDescent="0.3">
      <c r="A36" t="s">
        <v>84</v>
      </c>
    </row>
    <row r="37" spans="1:1" x14ac:dyDescent="0.3">
      <c r="A37" t="s">
        <v>85</v>
      </c>
    </row>
    <row r="38" spans="1:1" x14ac:dyDescent="0.3">
      <c r="A38" t="s">
        <v>86</v>
      </c>
    </row>
    <row r="39" spans="1:1" x14ac:dyDescent="0.3">
      <c r="A39" t="s">
        <v>87</v>
      </c>
    </row>
  </sheetData>
  <sheetProtection sheet="1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0"/>
  <sheetViews>
    <sheetView zoomScaleNormal="100" workbookViewId="0">
      <pane ySplit="3" topLeftCell="A55" activePane="bottomLeft" state="frozen"/>
      <selection pane="bottomLeft" activeCell="A2" sqref="A2"/>
    </sheetView>
  </sheetViews>
  <sheetFormatPr defaultColWidth="22" defaultRowHeight="14.4" x14ac:dyDescent="0.3"/>
  <cols>
    <col min="1" max="1" width="8" style="48" customWidth="1"/>
    <col min="2" max="2" width="34" style="48" customWidth="1"/>
    <col min="3" max="3" width="14" style="48" customWidth="1"/>
    <col min="4" max="4" width="8" style="48" customWidth="1"/>
    <col min="5" max="5" width="12" style="48" customWidth="1"/>
    <col min="6" max="7" width="13" style="48" customWidth="1"/>
    <col min="8" max="8" width="62" style="48" customWidth="1"/>
    <col min="9" max="16384" width="22" style="48"/>
  </cols>
  <sheetData>
    <row r="1" spans="1:9" ht="17.25" customHeight="1" x14ac:dyDescent="0.3">
      <c r="A1" s="79" t="s">
        <v>88</v>
      </c>
      <c r="B1" s="79"/>
      <c r="C1" s="79"/>
      <c r="D1" s="79"/>
      <c r="E1" s="79"/>
      <c r="F1" s="79"/>
      <c r="G1" s="79"/>
      <c r="H1" s="79"/>
    </row>
    <row r="3" spans="1:9" x14ac:dyDescent="0.3">
      <c r="A3" s="50" t="s">
        <v>89</v>
      </c>
      <c r="B3" s="50" t="s">
        <v>90</v>
      </c>
      <c r="C3" s="50" t="s">
        <v>91</v>
      </c>
      <c r="D3" s="50" t="s">
        <v>92</v>
      </c>
      <c r="E3" s="50" t="s">
        <v>93</v>
      </c>
      <c r="F3" s="50" t="s">
        <v>94</v>
      </c>
      <c r="G3" s="50" t="s">
        <v>95</v>
      </c>
      <c r="H3" s="50" t="s">
        <v>96</v>
      </c>
      <c r="I3" s="51" t="s">
        <v>97</v>
      </c>
    </row>
    <row r="4" spans="1:9" x14ac:dyDescent="0.3">
      <c r="A4" s="52" t="s">
        <v>98</v>
      </c>
      <c r="B4" s="53" t="s">
        <v>99</v>
      </c>
      <c r="C4" s="52" t="s">
        <v>100</v>
      </c>
      <c r="D4" s="52" t="s">
        <v>101</v>
      </c>
      <c r="E4" s="52" t="s">
        <v>102</v>
      </c>
      <c r="F4" s="54">
        <v>49.848329999999997</v>
      </c>
      <c r="G4" s="54">
        <v>19.030280000000001</v>
      </c>
      <c r="H4" s="53" t="s">
        <v>103</v>
      </c>
      <c r="I4" s="55" t="s">
        <v>104</v>
      </c>
    </row>
    <row r="5" spans="1:9" x14ac:dyDescent="0.3">
      <c r="A5" s="52" t="s">
        <v>98</v>
      </c>
      <c r="B5" s="53" t="s">
        <v>99</v>
      </c>
      <c r="C5" s="52" t="s">
        <v>100</v>
      </c>
      <c r="D5" s="52" t="s">
        <v>101</v>
      </c>
      <c r="E5" s="52" t="s">
        <v>105</v>
      </c>
      <c r="F5" s="54">
        <v>49.805280000000003</v>
      </c>
      <c r="G5" s="54">
        <v>18.891390000000001</v>
      </c>
      <c r="H5" s="53" t="s">
        <v>106</v>
      </c>
      <c r="I5" s="55" t="s">
        <v>107</v>
      </c>
    </row>
    <row r="6" spans="1:9" x14ac:dyDescent="0.3">
      <c r="A6" s="52" t="s">
        <v>98</v>
      </c>
      <c r="B6" s="53" t="s">
        <v>99</v>
      </c>
      <c r="C6" s="52" t="s">
        <v>100</v>
      </c>
      <c r="D6" s="52" t="s">
        <v>101</v>
      </c>
      <c r="E6" s="52" t="s">
        <v>108</v>
      </c>
      <c r="F6" s="54">
        <v>49.785829999999997</v>
      </c>
      <c r="G6" s="54">
        <v>19.067779999999999</v>
      </c>
      <c r="H6" s="53" t="s">
        <v>109</v>
      </c>
      <c r="I6" s="55" t="s">
        <v>110</v>
      </c>
    </row>
    <row r="7" spans="1:9" x14ac:dyDescent="0.3">
      <c r="A7" s="52" t="s">
        <v>111</v>
      </c>
      <c r="B7" s="53" t="s">
        <v>112</v>
      </c>
      <c r="C7" s="52" t="s">
        <v>113</v>
      </c>
      <c r="D7" s="52" t="s">
        <v>101</v>
      </c>
      <c r="E7" s="52" t="s">
        <v>102</v>
      </c>
      <c r="F7" s="54">
        <v>52.063330000000001</v>
      </c>
      <c r="G7" s="54">
        <v>20.74333</v>
      </c>
      <c r="H7" s="53" t="s">
        <v>114</v>
      </c>
      <c r="I7" s="55" t="s">
        <v>115</v>
      </c>
    </row>
    <row r="8" spans="1:9" x14ac:dyDescent="0.3">
      <c r="A8" s="52" t="s">
        <v>111</v>
      </c>
      <c r="B8" s="53" t="s">
        <v>112</v>
      </c>
      <c r="C8" s="52" t="s">
        <v>113</v>
      </c>
      <c r="D8" s="52" t="s">
        <v>101</v>
      </c>
      <c r="E8" s="52" t="s">
        <v>105</v>
      </c>
      <c r="F8" s="54">
        <v>52.184170000000002</v>
      </c>
      <c r="G8" s="54">
        <v>20.613890000000001</v>
      </c>
      <c r="H8" s="53" t="s">
        <v>116</v>
      </c>
      <c r="I8" s="55" t="s">
        <v>117</v>
      </c>
    </row>
    <row r="9" spans="1:9" x14ac:dyDescent="0.3">
      <c r="A9" s="52" t="s">
        <v>111</v>
      </c>
      <c r="B9" s="53" t="s">
        <v>112</v>
      </c>
      <c r="C9" s="52" t="s">
        <v>113</v>
      </c>
      <c r="D9" s="52" t="s">
        <v>101</v>
      </c>
      <c r="E9" s="52" t="s">
        <v>118</v>
      </c>
      <c r="F9" s="54">
        <v>52.343330000000002</v>
      </c>
      <c r="G9" s="54">
        <v>21.227779999999999</v>
      </c>
      <c r="H9" s="53" t="s">
        <v>119</v>
      </c>
      <c r="I9" s="55" t="s">
        <v>120</v>
      </c>
    </row>
    <row r="10" spans="1:9" x14ac:dyDescent="0.3">
      <c r="A10" s="52" t="s">
        <v>111</v>
      </c>
      <c r="B10" s="53" t="s">
        <v>112</v>
      </c>
      <c r="C10" s="52" t="s">
        <v>113</v>
      </c>
      <c r="D10" s="52" t="s">
        <v>101</v>
      </c>
      <c r="E10" s="52" t="s">
        <v>121</v>
      </c>
      <c r="F10" s="54">
        <v>52.181669999999997</v>
      </c>
      <c r="G10" s="54">
        <v>20.98611</v>
      </c>
      <c r="H10" s="53" t="s">
        <v>122</v>
      </c>
      <c r="I10" s="55" t="s">
        <v>123</v>
      </c>
    </row>
    <row r="11" spans="1:9" x14ac:dyDescent="0.3">
      <c r="A11" s="52" t="s">
        <v>111</v>
      </c>
      <c r="B11" s="53" t="s">
        <v>112</v>
      </c>
      <c r="C11" s="52" t="s">
        <v>113</v>
      </c>
      <c r="D11" s="52" t="s">
        <v>101</v>
      </c>
      <c r="E11" s="52" t="s">
        <v>124</v>
      </c>
      <c r="F11" s="54">
        <v>52.260829999999999</v>
      </c>
      <c r="G11" s="54">
        <v>20.73556</v>
      </c>
      <c r="H11" s="53" t="s">
        <v>125</v>
      </c>
      <c r="I11" s="55" t="s">
        <v>126</v>
      </c>
    </row>
    <row r="12" spans="1:9" x14ac:dyDescent="0.3">
      <c r="A12" s="52" t="s">
        <v>111</v>
      </c>
      <c r="B12" s="53" t="s">
        <v>112</v>
      </c>
      <c r="C12" s="52" t="s">
        <v>113</v>
      </c>
      <c r="D12" s="52" t="s">
        <v>101</v>
      </c>
      <c r="E12" s="52" t="s">
        <v>127</v>
      </c>
      <c r="F12" s="54">
        <v>51.990830000000003</v>
      </c>
      <c r="G12" s="54">
        <v>21.234719999999999</v>
      </c>
      <c r="H12" s="53" t="s">
        <v>128</v>
      </c>
      <c r="I12" s="55" t="s">
        <v>129</v>
      </c>
    </row>
    <row r="13" spans="1:9" x14ac:dyDescent="0.3">
      <c r="A13" s="52" t="s">
        <v>111</v>
      </c>
      <c r="B13" s="53" t="s">
        <v>112</v>
      </c>
      <c r="C13" s="52" t="s">
        <v>113</v>
      </c>
      <c r="D13" s="52" t="s">
        <v>101</v>
      </c>
      <c r="E13" s="52" t="s">
        <v>130</v>
      </c>
      <c r="F13" s="54">
        <v>52.377780000000001</v>
      </c>
      <c r="G13" s="54">
        <v>20.91667</v>
      </c>
      <c r="H13" s="53" t="s">
        <v>131</v>
      </c>
      <c r="I13" s="55" t="s">
        <v>132</v>
      </c>
    </row>
    <row r="14" spans="1:9" x14ac:dyDescent="0.3">
      <c r="A14" s="52" t="s">
        <v>111</v>
      </c>
      <c r="B14" s="53" t="s">
        <v>112</v>
      </c>
      <c r="C14" s="52" t="s">
        <v>113</v>
      </c>
      <c r="D14" s="52" t="s">
        <v>101</v>
      </c>
      <c r="E14" s="52" t="s">
        <v>133</v>
      </c>
      <c r="F14" s="54">
        <v>52.091389999999997</v>
      </c>
      <c r="G14" s="54">
        <v>21.237500000000001</v>
      </c>
      <c r="H14" s="53" t="s">
        <v>134</v>
      </c>
      <c r="I14" s="55" t="s">
        <v>135</v>
      </c>
    </row>
    <row r="15" spans="1:9" x14ac:dyDescent="0.3">
      <c r="A15" s="52" t="s">
        <v>111</v>
      </c>
      <c r="B15" s="53" t="s">
        <v>112</v>
      </c>
      <c r="C15" s="52" t="s">
        <v>113</v>
      </c>
      <c r="D15" s="52" t="s">
        <v>101</v>
      </c>
      <c r="E15" s="52" t="s">
        <v>136</v>
      </c>
      <c r="F15" s="54">
        <v>52.344439999999999</v>
      </c>
      <c r="G15" s="54">
        <v>20.920829999999999</v>
      </c>
      <c r="H15" s="53" t="s">
        <v>137</v>
      </c>
      <c r="I15" s="55" t="s">
        <v>138</v>
      </c>
    </row>
    <row r="16" spans="1:9" x14ac:dyDescent="0.3">
      <c r="A16" s="52" t="s">
        <v>111</v>
      </c>
      <c r="B16" s="53" t="s">
        <v>112</v>
      </c>
      <c r="C16" s="52" t="s">
        <v>113</v>
      </c>
      <c r="D16" s="52" t="s">
        <v>101</v>
      </c>
      <c r="E16" s="52" t="s">
        <v>139</v>
      </c>
      <c r="F16" s="54">
        <v>52.22278</v>
      </c>
      <c r="G16" s="54">
        <v>21.25</v>
      </c>
      <c r="H16" s="53" t="s">
        <v>140</v>
      </c>
      <c r="I16" s="55" t="s">
        <v>141</v>
      </c>
    </row>
    <row r="17" spans="1:9" x14ac:dyDescent="0.3">
      <c r="A17" s="52" t="s">
        <v>111</v>
      </c>
      <c r="B17" s="53" t="s">
        <v>112</v>
      </c>
      <c r="C17" s="52" t="s">
        <v>113</v>
      </c>
      <c r="D17" s="52" t="s">
        <v>101</v>
      </c>
      <c r="E17" s="52" t="s">
        <v>142</v>
      </c>
      <c r="F17" s="54">
        <v>52.217500000000001</v>
      </c>
      <c r="G17" s="54">
        <v>21.09722</v>
      </c>
      <c r="H17" s="53" t="s">
        <v>143</v>
      </c>
      <c r="I17" s="55" t="s">
        <v>144</v>
      </c>
    </row>
    <row r="18" spans="1:9" x14ac:dyDescent="0.3">
      <c r="A18" s="52" t="s">
        <v>111</v>
      </c>
      <c r="B18" s="53" t="s">
        <v>112</v>
      </c>
      <c r="C18" s="52" t="s">
        <v>113</v>
      </c>
      <c r="D18" s="52" t="s">
        <v>101</v>
      </c>
      <c r="E18" s="52" t="s">
        <v>145</v>
      </c>
      <c r="F18" s="54">
        <v>52.304720000000003</v>
      </c>
      <c r="G18" s="54">
        <v>21.08389</v>
      </c>
      <c r="H18" s="53" t="s">
        <v>146</v>
      </c>
      <c r="I18" s="55" t="s">
        <v>147</v>
      </c>
    </row>
    <row r="19" spans="1:9" x14ac:dyDescent="0.3">
      <c r="A19" s="52" t="s">
        <v>111</v>
      </c>
      <c r="B19" s="53" t="s">
        <v>112</v>
      </c>
      <c r="C19" s="52" t="s">
        <v>113</v>
      </c>
      <c r="D19" s="52" t="s">
        <v>101</v>
      </c>
      <c r="E19" s="52" t="s">
        <v>148</v>
      </c>
      <c r="F19" s="54">
        <v>51.970559999999999</v>
      </c>
      <c r="G19" s="54">
        <v>20.83361</v>
      </c>
      <c r="H19" s="53" t="s">
        <v>149</v>
      </c>
      <c r="I19" s="55" t="s">
        <v>150</v>
      </c>
    </row>
    <row r="20" spans="1:9" x14ac:dyDescent="0.3">
      <c r="A20" s="52" t="s">
        <v>111</v>
      </c>
      <c r="B20" s="53" t="s">
        <v>112</v>
      </c>
      <c r="C20" s="52" t="s">
        <v>113</v>
      </c>
      <c r="D20" s="52" t="s">
        <v>101</v>
      </c>
      <c r="E20" s="52" t="s">
        <v>151</v>
      </c>
      <c r="F20" s="54">
        <v>52.290280000000003</v>
      </c>
      <c r="G20" s="54">
        <v>21.010829999999999</v>
      </c>
      <c r="H20" s="53" t="s">
        <v>152</v>
      </c>
      <c r="I20" s="55" t="s">
        <v>153</v>
      </c>
    </row>
    <row r="21" spans="1:9" x14ac:dyDescent="0.3">
      <c r="A21" s="52" t="s">
        <v>154</v>
      </c>
      <c r="B21" s="53" t="s">
        <v>155</v>
      </c>
      <c r="C21" s="52" t="s">
        <v>100</v>
      </c>
      <c r="D21" s="52" t="s">
        <v>101</v>
      </c>
      <c r="E21" s="52" t="s">
        <v>118</v>
      </c>
      <c r="F21" s="54">
        <v>53.109720000000003</v>
      </c>
      <c r="G21" s="54">
        <v>23.23583</v>
      </c>
      <c r="H21" s="53" t="s">
        <v>156</v>
      </c>
      <c r="I21" s="55" t="s">
        <v>157</v>
      </c>
    </row>
    <row r="22" spans="1:9" x14ac:dyDescent="0.3">
      <c r="A22" s="52" t="s">
        <v>154</v>
      </c>
      <c r="B22" s="53" t="s">
        <v>155</v>
      </c>
      <c r="C22" s="52" t="s">
        <v>100</v>
      </c>
      <c r="D22" s="52" t="s">
        <v>101</v>
      </c>
      <c r="E22" s="52" t="s">
        <v>133</v>
      </c>
      <c r="F22" s="54">
        <v>53.081940000000003</v>
      </c>
      <c r="G22" s="54">
        <v>23.101669999999999</v>
      </c>
      <c r="H22" s="53" t="s">
        <v>158</v>
      </c>
      <c r="I22" s="55" t="s">
        <v>159</v>
      </c>
    </row>
    <row r="23" spans="1:9" x14ac:dyDescent="0.3">
      <c r="A23" s="52" t="s">
        <v>154</v>
      </c>
      <c r="B23" s="53" t="s">
        <v>155</v>
      </c>
      <c r="C23" s="52" t="s">
        <v>100</v>
      </c>
      <c r="D23" s="52" t="s">
        <v>101</v>
      </c>
      <c r="E23" s="52" t="s">
        <v>160</v>
      </c>
      <c r="F23" s="54">
        <v>53.03</v>
      </c>
      <c r="G23" s="54">
        <v>23.123609999999999</v>
      </c>
      <c r="H23" s="53" t="s">
        <v>161</v>
      </c>
      <c r="I23" s="55" t="s">
        <v>162</v>
      </c>
    </row>
    <row r="24" spans="1:9" x14ac:dyDescent="0.3">
      <c r="A24" s="52" t="s">
        <v>154</v>
      </c>
      <c r="B24" s="53" t="s">
        <v>155</v>
      </c>
      <c r="C24" s="52" t="s">
        <v>100</v>
      </c>
      <c r="D24" s="52" t="s">
        <v>101</v>
      </c>
      <c r="E24" s="52" t="s">
        <v>163</v>
      </c>
      <c r="F24" s="54">
        <v>53.185279999999999</v>
      </c>
      <c r="G24" s="54">
        <v>23.262219999999999</v>
      </c>
      <c r="H24" s="53" t="s">
        <v>164</v>
      </c>
      <c r="I24" s="55" t="s">
        <v>165</v>
      </c>
    </row>
    <row r="25" spans="1:9" x14ac:dyDescent="0.3">
      <c r="A25" s="52" t="s">
        <v>154</v>
      </c>
      <c r="B25" s="53" t="s">
        <v>155</v>
      </c>
      <c r="C25" s="52" t="s">
        <v>100</v>
      </c>
      <c r="D25" s="52" t="s">
        <v>101</v>
      </c>
      <c r="E25" s="52" t="s">
        <v>145</v>
      </c>
      <c r="F25" s="54">
        <v>53.148330000000001</v>
      </c>
      <c r="G25" s="54">
        <v>23.06</v>
      </c>
      <c r="H25" s="53" t="s">
        <v>166</v>
      </c>
      <c r="I25" s="55" t="s">
        <v>167</v>
      </c>
    </row>
    <row r="26" spans="1:9" x14ac:dyDescent="0.3">
      <c r="A26" s="52" t="s">
        <v>154</v>
      </c>
      <c r="B26" s="53" t="s">
        <v>155</v>
      </c>
      <c r="C26" s="52" t="s">
        <v>100</v>
      </c>
      <c r="D26" s="52" t="s">
        <v>101</v>
      </c>
      <c r="E26" s="52" t="s">
        <v>168</v>
      </c>
      <c r="F26" s="54">
        <v>53.052219999999998</v>
      </c>
      <c r="G26" s="54">
        <v>23.335560000000001</v>
      </c>
      <c r="H26" s="53" t="s">
        <v>169</v>
      </c>
      <c r="I26" s="55" t="s">
        <v>170</v>
      </c>
    </row>
    <row r="27" spans="1:9" x14ac:dyDescent="0.3">
      <c r="A27" s="52" t="s">
        <v>171</v>
      </c>
      <c r="B27" s="53" t="s">
        <v>172</v>
      </c>
      <c r="C27" s="52" t="s">
        <v>173</v>
      </c>
      <c r="D27" s="52" t="s">
        <v>174</v>
      </c>
      <c r="E27" s="52" t="s">
        <v>133</v>
      </c>
      <c r="F27" s="54">
        <v>52.972499999999997</v>
      </c>
      <c r="G27" s="54">
        <v>17.72278</v>
      </c>
      <c r="H27" s="53" t="s">
        <v>175</v>
      </c>
      <c r="I27" s="55" t="s">
        <v>176</v>
      </c>
    </row>
    <row r="28" spans="1:9" x14ac:dyDescent="0.3">
      <c r="A28" s="52" t="s">
        <v>171</v>
      </c>
      <c r="B28" s="53" t="s">
        <v>172</v>
      </c>
      <c r="C28" s="52" t="s">
        <v>173</v>
      </c>
      <c r="D28" s="52" t="s">
        <v>174</v>
      </c>
      <c r="E28" s="52" t="s">
        <v>160</v>
      </c>
      <c r="F28" s="54">
        <v>52.95167</v>
      </c>
      <c r="G28" s="54">
        <v>17.920280000000002</v>
      </c>
      <c r="H28" s="53" t="s">
        <v>177</v>
      </c>
      <c r="I28" s="55" t="s">
        <v>178</v>
      </c>
    </row>
    <row r="29" spans="1:9" x14ac:dyDescent="0.3">
      <c r="A29" s="52" t="s">
        <v>171</v>
      </c>
      <c r="B29" s="53" t="s">
        <v>172</v>
      </c>
      <c r="C29" s="52" t="s">
        <v>173</v>
      </c>
      <c r="D29" s="52" t="s">
        <v>174</v>
      </c>
      <c r="E29" s="52" t="s">
        <v>139</v>
      </c>
      <c r="F29" s="54">
        <v>53.223610000000001</v>
      </c>
      <c r="G29" s="54">
        <v>18.036940000000001</v>
      </c>
      <c r="H29" s="53" t="s">
        <v>179</v>
      </c>
      <c r="I29" s="55" t="s">
        <v>180</v>
      </c>
    </row>
    <row r="30" spans="1:9" x14ac:dyDescent="0.3">
      <c r="A30" s="52" t="s">
        <v>171</v>
      </c>
      <c r="B30" s="53" t="s">
        <v>172</v>
      </c>
      <c r="C30" s="52" t="s">
        <v>173</v>
      </c>
      <c r="D30" s="52" t="s">
        <v>174</v>
      </c>
      <c r="E30" s="52" t="s">
        <v>142</v>
      </c>
      <c r="F30" s="54">
        <v>53.176110000000001</v>
      </c>
      <c r="G30" s="54">
        <v>18.05639</v>
      </c>
      <c r="H30" s="53" t="s">
        <v>181</v>
      </c>
      <c r="I30" s="55" t="s">
        <v>182</v>
      </c>
    </row>
    <row r="31" spans="1:9" x14ac:dyDescent="0.3">
      <c r="A31" s="52" t="s">
        <v>171</v>
      </c>
      <c r="B31" s="53" t="s">
        <v>172</v>
      </c>
      <c r="C31" s="52" t="s">
        <v>173</v>
      </c>
      <c r="D31" s="52" t="s">
        <v>174</v>
      </c>
      <c r="E31" s="52" t="s">
        <v>163</v>
      </c>
      <c r="F31" s="54">
        <v>53.139719999999997</v>
      </c>
      <c r="G31" s="54">
        <v>17.591670000000001</v>
      </c>
      <c r="H31" s="53" t="s">
        <v>183</v>
      </c>
      <c r="I31" s="55" t="s">
        <v>184</v>
      </c>
    </row>
    <row r="32" spans="1:9" x14ac:dyDescent="0.3">
      <c r="A32" s="52" t="s">
        <v>171</v>
      </c>
      <c r="B32" s="53" t="s">
        <v>172</v>
      </c>
      <c r="C32" s="52" t="s">
        <v>173</v>
      </c>
      <c r="D32" s="52" t="s">
        <v>174</v>
      </c>
      <c r="E32" s="52" t="s">
        <v>145</v>
      </c>
      <c r="F32" s="54">
        <v>53.156939999999999</v>
      </c>
      <c r="G32" s="54">
        <v>17.88861</v>
      </c>
      <c r="H32" s="53" t="s">
        <v>185</v>
      </c>
      <c r="I32" s="55" t="s">
        <v>186</v>
      </c>
    </row>
    <row r="33" spans="1:9" x14ac:dyDescent="0.3">
      <c r="A33" s="52" t="s">
        <v>171</v>
      </c>
      <c r="B33" s="53" t="s">
        <v>172</v>
      </c>
      <c r="C33" s="52" t="s">
        <v>173</v>
      </c>
      <c r="D33" s="52" t="s">
        <v>174</v>
      </c>
      <c r="E33" s="52" t="s">
        <v>168</v>
      </c>
      <c r="F33" s="54">
        <v>53.153329999999997</v>
      </c>
      <c r="G33" s="54">
        <v>18.001940000000001</v>
      </c>
      <c r="H33" s="53" t="s">
        <v>187</v>
      </c>
      <c r="I33" s="55" t="s">
        <v>188</v>
      </c>
    </row>
    <row r="34" spans="1:9" x14ac:dyDescent="0.3">
      <c r="A34" s="52" t="s">
        <v>171</v>
      </c>
      <c r="B34" s="53" t="s">
        <v>172</v>
      </c>
      <c r="C34" s="52" t="s">
        <v>173</v>
      </c>
      <c r="D34" s="52" t="s">
        <v>174</v>
      </c>
      <c r="E34" s="52" t="s">
        <v>189</v>
      </c>
      <c r="F34" s="54">
        <v>53.052500000000002</v>
      </c>
      <c r="G34" s="54">
        <v>17.996110000000002</v>
      </c>
      <c r="H34" s="53" t="s">
        <v>190</v>
      </c>
      <c r="I34" s="55" t="s">
        <v>191</v>
      </c>
    </row>
    <row r="35" spans="1:9" x14ac:dyDescent="0.3">
      <c r="A35" s="52" t="s">
        <v>171</v>
      </c>
      <c r="B35" s="53" t="s">
        <v>172</v>
      </c>
      <c r="C35" s="52" t="s">
        <v>173</v>
      </c>
      <c r="D35" s="52" t="s">
        <v>174</v>
      </c>
      <c r="E35" s="52" t="s">
        <v>192</v>
      </c>
      <c r="F35" s="54">
        <v>53.20778</v>
      </c>
      <c r="G35" s="54">
        <v>18.378609999999998</v>
      </c>
      <c r="H35" s="53" t="s">
        <v>193</v>
      </c>
      <c r="I35" s="55" t="s">
        <v>194</v>
      </c>
    </row>
    <row r="36" spans="1:9" x14ac:dyDescent="0.3">
      <c r="A36" s="52" t="s">
        <v>171</v>
      </c>
      <c r="B36" s="53" t="s">
        <v>172</v>
      </c>
      <c r="C36" s="52" t="s">
        <v>173</v>
      </c>
      <c r="D36" s="52" t="s">
        <v>174</v>
      </c>
      <c r="E36" s="52" t="s">
        <v>195</v>
      </c>
      <c r="F36" s="54">
        <v>52.976109999999998</v>
      </c>
      <c r="G36" s="54">
        <v>18.099440000000001</v>
      </c>
      <c r="H36" s="53" t="s">
        <v>196</v>
      </c>
      <c r="I36" s="55" t="s">
        <v>197</v>
      </c>
    </row>
    <row r="37" spans="1:9" x14ac:dyDescent="0.3">
      <c r="A37" s="52" t="s">
        <v>198</v>
      </c>
      <c r="B37" s="53" t="s">
        <v>199</v>
      </c>
      <c r="C37" s="52" t="s">
        <v>100</v>
      </c>
      <c r="D37" s="52" t="s">
        <v>101</v>
      </c>
      <c r="E37" s="52" t="s">
        <v>142</v>
      </c>
      <c r="F37" s="54">
        <v>51.16778</v>
      </c>
      <c r="G37" s="54">
        <v>23.35</v>
      </c>
      <c r="H37" s="53" t="s">
        <v>200</v>
      </c>
      <c r="I37" s="55" t="s">
        <v>201</v>
      </c>
    </row>
    <row r="38" spans="1:9" x14ac:dyDescent="0.3">
      <c r="A38" s="52" t="s">
        <v>198</v>
      </c>
      <c r="B38" s="53" t="s">
        <v>199</v>
      </c>
      <c r="C38" s="52" t="s">
        <v>100</v>
      </c>
      <c r="D38" s="52" t="s">
        <v>101</v>
      </c>
      <c r="E38" s="52" t="s">
        <v>195</v>
      </c>
      <c r="F38" s="54">
        <v>51.09111</v>
      </c>
      <c r="G38" s="54">
        <v>23.287780000000001</v>
      </c>
      <c r="H38" s="53" t="s">
        <v>202</v>
      </c>
      <c r="I38" s="55" t="s">
        <v>203</v>
      </c>
    </row>
    <row r="39" spans="1:9" x14ac:dyDescent="0.3">
      <c r="A39" s="52" t="s">
        <v>198</v>
      </c>
      <c r="B39" s="53" t="s">
        <v>199</v>
      </c>
      <c r="C39" s="52" t="s">
        <v>100</v>
      </c>
      <c r="D39" s="52" t="s">
        <v>101</v>
      </c>
      <c r="E39" s="52" t="s">
        <v>151</v>
      </c>
      <c r="F39" s="54">
        <v>51.018610000000002</v>
      </c>
      <c r="G39" s="54">
        <v>23.370830000000002</v>
      </c>
      <c r="H39" s="53" t="s">
        <v>204</v>
      </c>
      <c r="I39" s="55" t="s">
        <v>205</v>
      </c>
    </row>
    <row r="40" spans="1:9" x14ac:dyDescent="0.3">
      <c r="A40" s="52" t="s">
        <v>206</v>
      </c>
      <c r="B40" s="53" t="s">
        <v>207</v>
      </c>
      <c r="C40" s="52" t="s">
        <v>208</v>
      </c>
      <c r="D40" s="52" t="s">
        <v>174</v>
      </c>
      <c r="E40" s="52" t="s">
        <v>127</v>
      </c>
      <c r="F40" s="54">
        <v>54.37444</v>
      </c>
      <c r="G40" s="54">
        <v>18.778890000000001</v>
      </c>
      <c r="H40" s="53" t="s">
        <v>209</v>
      </c>
      <c r="I40" s="55" t="s">
        <v>210</v>
      </c>
    </row>
    <row r="41" spans="1:9" x14ac:dyDescent="0.3">
      <c r="A41" s="52" t="s">
        <v>206</v>
      </c>
      <c r="B41" s="53" t="s">
        <v>207</v>
      </c>
      <c r="C41" s="52" t="s">
        <v>208</v>
      </c>
      <c r="D41" s="52" t="s">
        <v>174</v>
      </c>
      <c r="E41" s="52" t="s">
        <v>211</v>
      </c>
      <c r="F41" s="54">
        <v>54.471110000000003</v>
      </c>
      <c r="G41" s="54">
        <v>18.309719999999999</v>
      </c>
      <c r="H41" s="53" t="s">
        <v>212</v>
      </c>
      <c r="I41" s="55" t="s">
        <v>213</v>
      </c>
    </row>
    <row r="42" spans="1:9" x14ac:dyDescent="0.3">
      <c r="A42" s="52" t="s">
        <v>206</v>
      </c>
      <c r="B42" s="53" t="s">
        <v>207</v>
      </c>
      <c r="C42" s="52" t="s">
        <v>208</v>
      </c>
      <c r="D42" s="52" t="s">
        <v>174</v>
      </c>
      <c r="E42" s="52" t="s">
        <v>139</v>
      </c>
      <c r="F42" s="54">
        <v>54.444719999999997</v>
      </c>
      <c r="G42" s="54">
        <v>18.544440000000002</v>
      </c>
      <c r="H42" s="53" t="s">
        <v>214</v>
      </c>
      <c r="I42" s="55" t="s">
        <v>215</v>
      </c>
    </row>
    <row r="43" spans="1:9" x14ac:dyDescent="0.3">
      <c r="A43" s="52" t="s">
        <v>206</v>
      </c>
      <c r="B43" s="53" t="s">
        <v>207</v>
      </c>
      <c r="C43" s="52" t="s">
        <v>208</v>
      </c>
      <c r="D43" s="52" t="s">
        <v>174</v>
      </c>
      <c r="E43" s="52" t="s">
        <v>142</v>
      </c>
      <c r="F43" s="54">
        <v>54.411670000000001</v>
      </c>
      <c r="G43" s="54">
        <v>18.484999999999999</v>
      </c>
      <c r="H43" s="53" t="s">
        <v>216</v>
      </c>
      <c r="I43" s="55" t="s">
        <v>217</v>
      </c>
    </row>
    <row r="44" spans="1:9" x14ac:dyDescent="0.3">
      <c r="A44" s="52" t="s">
        <v>206</v>
      </c>
      <c r="B44" s="53" t="s">
        <v>207</v>
      </c>
      <c r="C44" s="52" t="s">
        <v>208</v>
      </c>
      <c r="D44" s="52" t="s">
        <v>174</v>
      </c>
      <c r="E44" s="52" t="s">
        <v>189</v>
      </c>
      <c r="F44" s="54">
        <v>54.344999999999999</v>
      </c>
      <c r="G44" s="54">
        <v>18.434999999999999</v>
      </c>
      <c r="H44" s="53" t="s">
        <v>218</v>
      </c>
      <c r="I44" s="55" t="s">
        <v>219</v>
      </c>
    </row>
    <row r="45" spans="1:9" x14ac:dyDescent="0.3">
      <c r="A45" s="52" t="s">
        <v>206</v>
      </c>
      <c r="B45" s="53" t="s">
        <v>207</v>
      </c>
      <c r="C45" s="52" t="s">
        <v>208</v>
      </c>
      <c r="D45" s="52" t="s">
        <v>174</v>
      </c>
      <c r="E45" s="52" t="s">
        <v>220</v>
      </c>
      <c r="F45" s="54">
        <v>54.276110000000003</v>
      </c>
      <c r="G45" s="54">
        <v>18.489439999999998</v>
      </c>
      <c r="H45" s="53" t="s">
        <v>221</v>
      </c>
      <c r="I45" s="55" t="s">
        <v>222</v>
      </c>
    </row>
    <row r="46" spans="1:9" x14ac:dyDescent="0.3">
      <c r="A46" s="52" t="s">
        <v>206</v>
      </c>
      <c r="B46" s="53" t="s">
        <v>207</v>
      </c>
      <c r="C46" s="52" t="s">
        <v>208</v>
      </c>
      <c r="D46" s="52" t="s">
        <v>174</v>
      </c>
      <c r="E46" s="52" t="s">
        <v>151</v>
      </c>
      <c r="F46" s="54">
        <v>54.325000000000003</v>
      </c>
      <c r="G46" s="54">
        <v>18.183610000000002</v>
      </c>
      <c r="H46" s="53" t="s">
        <v>223</v>
      </c>
      <c r="I46" s="55" t="s">
        <v>224</v>
      </c>
    </row>
    <row r="47" spans="1:9" x14ac:dyDescent="0.3">
      <c r="A47" s="52" t="s">
        <v>225</v>
      </c>
      <c r="B47" s="53" t="s">
        <v>226</v>
      </c>
      <c r="C47" s="52" t="s">
        <v>100</v>
      </c>
      <c r="D47" s="52" t="s">
        <v>101</v>
      </c>
      <c r="E47" s="52" t="s">
        <v>121</v>
      </c>
      <c r="F47" s="54">
        <v>53.43806</v>
      </c>
      <c r="G47" s="54">
        <v>18.94417</v>
      </c>
      <c r="H47" s="53" t="s">
        <v>227</v>
      </c>
      <c r="I47" s="55" t="s">
        <v>228</v>
      </c>
    </row>
    <row r="48" spans="1:9" x14ac:dyDescent="0.3">
      <c r="A48" s="52" t="s">
        <v>225</v>
      </c>
      <c r="B48" s="53" t="s">
        <v>226</v>
      </c>
      <c r="C48" s="52" t="s">
        <v>100</v>
      </c>
      <c r="D48" s="52" t="s">
        <v>101</v>
      </c>
      <c r="E48" s="52" t="s">
        <v>127</v>
      </c>
      <c r="F48" s="54">
        <v>53.61083</v>
      </c>
      <c r="G48" s="54">
        <v>18.946670000000001</v>
      </c>
      <c r="H48" s="53" t="s">
        <v>229</v>
      </c>
      <c r="I48" s="55" t="s">
        <v>230</v>
      </c>
    </row>
    <row r="49" spans="1:9" x14ac:dyDescent="0.3">
      <c r="A49" s="52" t="s">
        <v>225</v>
      </c>
      <c r="B49" s="53" t="s">
        <v>226</v>
      </c>
      <c r="C49" s="52" t="s">
        <v>100</v>
      </c>
      <c r="D49" s="52" t="s">
        <v>101</v>
      </c>
      <c r="E49" s="52" t="s">
        <v>139</v>
      </c>
      <c r="F49" s="54">
        <v>53.483890000000002</v>
      </c>
      <c r="G49" s="54">
        <v>18.739719999999998</v>
      </c>
      <c r="H49" s="53" t="s">
        <v>231</v>
      </c>
      <c r="I49" s="55" t="s">
        <v>232</v>
      </c>
    </row>
    <row r="50" spans="1:9" x14ac:dyDescent="0.3">
      <c r="A50" s="52" t="s">
        <v>225</v>
      </c>
      <c r="B50" s="53" t="s">
        <v>226</v>
      </c>
      <c r="C50" s="52" t="s">
        <v>100</v>
      </c>
      <c r="D50" s="52" t="s">
        <v>101</v>
      </c>
      <c r="E50" s="52" t="s">
        <v>163</v>
      </c>
      <c r="F50" s="54">
        <v>53.55556</v>
      </c>
      <c r="G50" s="54">
        <v>18.765830000000001</v>
      </c>
      <c r="H50" s="53" t="s">
        <v>233</v>
      </c>
      <c r="I50" s="55" t="s">
        <v>234</v>
      </c>
    </row>
    <row r="51" spans="1:9" x14ac:dyDescent="0.3">
      <c r="A51" s="52" t="s">
        <v>225</v>
      </c>
      <c r="B51" s="53" t="s">
        <v>226</v>
      </c>
      <c r="C51" s="52" t="s">
        <v>100</v>
      </c>
      <c r="D51" s="52" t="s">
        <v>101</v>
      </c>
      <c r="E51" s="52" t="s">
        <v>168</v>
      </c>
      <c r="F51" s="54">
        <v>53.523330000000001</v>
      </c>
      <c r="G51" s="54">
        <v>18.955559999999998</v>
      </c>
      <c r="H51" s="53" t="s">
        <v>235</v>
      </c>
      <c r="I51" s="55" t="s">
        <v>236</v>
      </c>
    </row>
    <row r="52" spans="1:9" x14ac:dyDescent="0.3">
      <c r="A52" s="52" t="s">
        <v>237</v>
      </c>
      <c r="B52" s="53" t="s">
        <v>238</v>
      </c>
      <c r="C52" s="52" t="s">
        <v>100</v>
      </c>
      <c r="D52" s="52" t="s">
        <v>101</v>
      </c>
      <c r="E52" s="52" t="s">
        <v>105</v>
      </c>
      <c r="F52" s="54">
        <v>50.264719999999997</v>
      </c>
      <c r="G52" s="54">
        <v>19.434719999999999</v>
      </c>
      <c r="H52" s="53" t="s">
        <v>239</v>
      </c>
      <c r="I52" s="55" t="s">
        <v>240</v>
      </c>
    </row>
    <row r="53" spans="1:9" x14ac:dyDescent="0.3">
      <c r="A53" s="52" t="s">
        <v>237</v>
      </c>
      <c r="B53" s="53" t="s">
        <v>238</v>
      </c>
      <c r="C53" s="52" t="s">
        <v>100</v>
      </c>
      <c r="D53" s="52" t="s">
        <v>101</v>
      </c>
      <c r="E53" s="52" t="s">
        <v>127</v>
      </c>
      <c r="F53" s="54">
        <v>50.40361</v>
      </c>
      <c r="G53" s="54">
        <v>19.055</v>
      </c>
      <c r="H53" s="53" t="s">
        <v>241</v>
      </c>
      <c r="I53" s="55" t="s">
        <v>242</v>
      </c>
    </row>
    <row r="54" spans="1:9" x14ac:dyDescent="0.3">
      <c r="A54" s="52" t="s">
        <v>237</v>
      </c>
      <c r="B54" s="53" t="s">
        <v>238</v>
      </c>
      <c r="C54" s="52" t="s">
        <v>100</v>
      </c>
      <c r="D54" s="52" t="s">
        <v>101</v>
      </c>
      <c r="E54" s="52" t="s">
        <v>243</v>
      </c>
      <c r="F54" s="54">
        <v>50.318060000000003</v>
      </c>
      <c r="G54" s="54">
        <v>19.237220000000001</v>
      </c>
      <c r="H54" s="53" t="s">
        <v>244</v>
      </c>
      <c r="I54" s="55" t="s">
        <v>245</v>
      </c>
    </row>
    <row r="55" spans="1:9" x14ac:dyDescent="0.3">
      <c r="A55" s="52" t="s">
        <v>237</v>
      </c>
      <c r="B55" s="53" t="s">
        <v>238</v>
      </c>
      <c r="C55" s="52" t="s">
        <v>100</v>
      </c>
      <c r="D55" s="52" t="s">
        <v>101</v>
      </c>
      <c r="E55" s="52" t="s">
        <v>139</v>
      </c>
      <c r="F55" s="54">
        <v>50.178890000000003</v>
      </c>
      <c r="G55" s="54">
        <v>18.906939999999999</v>
      </c>
      <c r="H55" s="53" t="s">
        <v>246</v>
      </c>
      <c r="I55" s="55" t="s">
        <v>247</v>
      </c>
    </row>
    <row r="56" spans="1:9" x14ac:dyDescent="0.3">
      <c r="A56" s="52" t="s">
        <v>237</v>
      </c>
      <c r="B56" s="53" t="s">
        <v>238</v>
      </c>
      <c r="C56" s="52" t="s">
        <v>100</v>
      </c>
      <c r="D56" s="52" t="s">
        <v>101</v>
      </c>
      <c r="E56" s="52" t="s">
        <v>145</v>
      </c>
      <c r="F56" s="54">
        <v>50.39472</v>
      </c>
      <c r="G56" s="54">
        <v>18.629169999999998</v>
      </c>
      <c r="H56" s="53" t="s">
        <v>248</v>
      </c>
      <c r="I56" s="55" t="s">
        <v>249</v>
      </c>
    </row>
    <row r="57" spans="1:9" x14ac:dyDescent="0.3">
      <c r="A57" s="52" t="s">
        <v>237</v>
      </c>
      <c r="B57" s="53" t="s">
        <v>238</v>
      </c>
      <c r="C57" s="52" t="s">
        <v>100</v>
      </c>
      <c r="D57" s="52" t="s">
        <v>101</v>
      </c>
      <c r="E57" s="52" t="s">
        <v>189</v>
      </c>
      <c r="F57" s="54">
        <v>50.1325</v>
      </c>
      <c r="G57" s="54">
        <v>19.024999999999999</v>
      </c>
      <c r="H57" s="53" t="s">
        <v>250</v>
      </c>
      <c r="I57" s="55" t="s">
        <v>251</v>
      </c>
    </row>
    <row r="58" spans="1:9" x14ac:dyDescent="0.3">
      <c r="A58" s="52" t="s">
        <v>237</v>
      </c>
      <c r="B58" s="53" t="s">
        <v>238</v>
      </c>
      <c r="C58" s="52" t="s">
        <v>100</v>
      </c>
      <c r="D58" s="52" t="s">
        <v>101</v>
      </c>
      <c r="E58" s="52" t="s">
        <v>148</v>
      </c>
      <c r="F58" s="54">
        <v>50.35389</v>
      </c>
      <c r="G58" s="54">
        <v>18.866389999999999</v>
      </c>
      <c r="H58" s="53" t="s">
        <v>252</v>
      </c>
      <c r="I58" s="55" t="s">
        <v>253</v>
      </c>
    </row>
    <row r="59" spans="1:9" x14ac:dyDescent="0.3">
      <c r="A59" s="52" t="s">
        <v>254</v>
      </c>
      <c r="B59" s="53" t="s">
        <v>255</v>
      </c>
      <c r="C59" s="52" t="s">
        <v>100</v>
      </c>
      <c r="D59" s="52" t="s">
        <v>101</v>
      </c>
      <c r="E59" s="52" t="s">
        <v>130</v>
      </c>
      <c r="F59" s="54">
        <v>52.856110000000001</v>
      </c>
      <c r="G59" s="54">
        <v>18.198889999999999</v>
      </c>
      <c r="H59" s="53" t="s">
        <v>256</v>
      </c>
      <c r="I59" s="55" t="s">
        <v>257</v>
      </c>
    </row>
    <row r="60" spans="1:9" x14ac:dyDescent="0.3">
      <c r="A60" s="52" t="s">
        <v>254</v>
      </c>
      <c r="B60" s="53" t="s">
        <v>255</v>
      </c>
      <c r="C60" s="52" t="s">
        <v>100</v>
      </c>
      <c r="D60" s="52" t="s">
        <v>101</v>
      </c>
      <c r="E60" s="52" t="s">
        <v>139</v>
      </c>
      <c r="F60" s="54">
        <v>52.677219999999998</v>
      </c>
      <c r="G60" s="54">
        <v>18.0075</v>
      </c>
      <c r="H60" s="53" t="s">
        <v>258</v>
      </c>
      <c r="I60" s="55" t="s">
        <v>259</v>
      </c>
    </row>
    <row r="61" spans="1:9" x14ac:dyDescent="0.3">
      <c r="A61" s="52" t="s">
        <v>254</v>
      </c>
      <c r="B61" s="53" t="s">
        <v>255</v>
      </c>
      <c r="C61" s="52" t="s">
        <v>100</v>
      </c>
      <c r="D61" s="52" t="s">
        <v>101</v>
      </c>
      <c r="E61" s="52" t="s">
        <v>142</v>
      </c>
      <c r="F61" s="54">
        <v>52.894170000000003</v>
      </c>
      <c r="G61" s="54">
        <v>18.316109999999998</v>
      </c>
      <c r="H61" s="53" t="s">
        <v>260</v>
      </c>
      <c r="I61" s="55" t="s">
        <v>261</v>
      </c>
    </row>
    <row r="62" spans="1:9" x14ac:dyDescent="0.3">
      <c r="A62" s="52" t="s">
        <v>254</v>
      </c>
      <c r="B62" s="53" t="s">
        <v>255</v>
      </c>
      <c r="C62" s="52" t="s">
        <v>100</v>
      </c>
      <c r="D62" s="52" t="s">
        <v>101</v>
      </c>
      <c r="E62" s="52" t="s">
        <v>145</v>
      </c>
      <c r="F62" s="54">
        <v>52.833889999999997</v>
      </c>
      <c r="G62" s="54">
        <v>18.65361</v>
      </c>
      <c r="H62" s="53" t="s">
        <v>262</v>
      </c>
      <c r="I62" s="55" t="s">
        <v>263</v>
      </c>
    </row>
    <row r="63" spans="1:9" x14ac:dyDescent="0.3">
      <c r="A63" s="52" t="s">
        <v>254</v>
      </c>
      <c r="B63" s="53" t="s">
        <v>255</v>
      </c>
      <c r="C63" s="52" t="s">
        <v>100</v>
      </c>
      <c r="D63" s="52" t="s">
        <v>101</v>
      </c>
      <c r="E63" s="52" t="s">
        <v>168</v>
      </c>
      <c r="F63" s="54">
        <v>52.631390000000003</v>
      </c>
      <c r="G63" s="54">
        <v>18.535</v>
      </c>
      <c r="H63" s="53" t="s">
        <v>264</v>
      </c>
      <c r="I63" s="55" t="s">
        <v>265</v>
      </c>
    </row>
    <row r="64" spans="1:9" x14ac:dyDescent="0.3">
      <c r="A64" s="52" t="s">
        <v>254</v>
      </c>
      <c r="B64" s="53" t="s">
        <v>255</v>
      </c>
      <c r="C64" s="52" t="s">
        <v>100</v>
      </c>
      <c r="D64" s="52" t="s">
        <v>101</v>
      </c>
      <c r="E64" s="52" t="s">
        <v>189</v>
      </c>
      <c r="F64" s="54">
        <v>52.731940000000002</v>
      </c>
      <c r="G64" s="54">
        <v>18.26972</v>
      </c>
      <c r="H64" s="53" t="s">
        <v>266</v>
      </c>
      <c r="I64" s="55" t="s">
        <v>267</v>
      </c>
    </row>
    <row r="65" spans="1:9" x14ac:dyDescent="0.3">
      <c r="A65" s="52" t="s">
        <v>254</v>
      </c>
      <c r="B65" s="53" t="s">
        <v>255</v>
      </c>
      <c r="C65" s="52" t="s">
        <v>100</v>
      </c>
      <c r="D65" s="52" t="s">
        <v>101</v>
      </c>
      <c r="E65" s="52" t="s">
        <v>195</v>
      </c>
      <c r="F65" s="54">
        <v>52.814169999999997</v>
      </c>
      <c r="G65" s="54">
        <v>18.47167</v>
      </c>
      <c r="H65" s="53" t="s">
        <v>268</v>
      </c>
      <c r="I65" s="55" t="s">
        <v>269</v>
      </c>
    </row>
    <row r="66" spans="1:9" x14ac:dyDescent="0.3">
      <c r="A66" s="52" t="s">
        <v>254</v>
      </c>
      <c r="B66" s="53" t="s">
        <v>255</v>
      </c>
      <c r="C66" s="52" t="s">
        <v>100</v>
      </c>
      <c r="D66" s="52" t="s">
        <v>101</v>
      </c>
      <c r="E66" s="52" t="s">
        <v>151</v>
      </c>
      <c r="F66" s="54">
        <v>52.903329999999997</v>
      </c>
      <c r="G66" s="54">
        <v>18.141110000000001</v>
      </c>
      <c r="H66" s="53" t="s">
        <v>270</v>
      </c>
      <c r="I66" s="55" t="s">
        <v>271</v>
      </c>
    </row>
    <row r="67" spans="1:9" x14ac:dyDescent="0.3">
      <c r="A67" s="52" t="s">
        <v>272</v>
      </c>
      <c r="B67" s="53" t="s">
        <v>273</v>
      </c>
      <c r="C67" s="52" t="s">
        <v>100</v>
      </c>
      <c r="D67" s="52" t="s">
        <v>101</v>
      </c>
      <c r="E67" s="52" t="s">
        <v>102</v>
      </c>
      <c r="F67" s="54">
        <v>50.961109999999998</v>
      </c>
      <c r="G67" s="54">
        <v>15.796390000000001</v>
      </c>
      <c r="H67" s="53" t="s">
        <v>274</v>
      </c>
      <c r="I67" s="55" t="s">
        <v>275</v>
      </c>
    </row>
    <row r="68" spans="1:9" x14ac:dyDescent="0.3">
      <c r="A68" s="52" t="s">
        <v>272</v>
      </c>
      <c r="B68" s="53" t="s">
        <v>273</v>
      </c>
      <c r="C68" s="52" t="s">
        <v>100</v>
      </c>
      <c r="D68" s="52" t="s">
        <v>101</v>
      </c>
      <c r="E68" s="52" t="s">
        <v>130</v>
      </c>
      <c r="F68" s="54">
        <v>50.874720000000003</v>
      </c>
      <c r="G68" s="54">
        <v>15.92</v>
      </c>
      <c r="H68" s="53" t="s">
        <v>276</v>
      </c>
      <c r="I68" s="55" t="s">
        <v>277</v>
      </c>
    </row>
    <row r="69" spans="1:9" x14ac:dyDescent="0.3">
      <c r="A69" s="52" t="s">
        <v>272</v>
      </c>
      <c r="B69" s="53" t="s">
        <v>273</v>
      </c>
      <c r="C69" s="52" t="s">
        <v>100</v>
      </c>
      <c r="D69" s="52" t="s">
        <v>101</v>
      </c>
      <c r="E69" s="52" t="s">
        <v>145</v>
      </c>
      <c r="F69" s="54">
        <v>50.963610000000003</v>
      </c>
      <c r="G69" s="54">
        <v>15.645</v>
      </c>
      <c r="H69" s="53" t="s">
        <v>278</v>
      </c>
      <c r="I69" s="55" t="s">
        <v>279</v>
      </c>
    </row>
    <row r="70" spans="1:9" x14ac:dyDescent="0.3">
      <c r="A70" s="52" t="s">
        <v>272</v>
      </c>
      <c r="B70" s="53" t="s">
        <v>273</v>
      </c>
      <c r="C70" s="52" t="s">
        <v>100</v>
      </c>
      <c r="D70" s="52" t="s">
        <v>101</v>
      </c>
      <c r="E70" s="52" t="s">
        <v>189</v>
      </c>
      <c r="F70" s="54">
        <v>50.829439999999998</v>
      </c>
      <c r="G70" s="54">
        <v>15.70722</v>
      </c>
      <c r="H70" s="53" t="s">
        <v>280</v>
      </c>
      <c r="I70" s="55" t="s">
        <v>281</v>
      </c>
    </row>
    <row r="71" spans="1:9" x14ac:dyDescent="0.3">
      <c r="A71" s="52" t="s">
        <v>272</v>
      </c>
      <c r="B71" s="53" t="s">
        <v>273</v>
      </c>
      <c r="C71" s="52" t="s">
        <v>100</v>
      </c>
      <c r="D71" s="52" t="s">
        <v>101</v>
      </c>
      <c r="E71" s="52" t="s">
        <v>195</v>
      </c>
      <c r="F71" s="54">
        <v>50.938330000000001</v>
      </c>
      <c r="G71" s="54">
        <v>15.90917</v>
      </c>
      <c r="H71" s="53" t="s">
        <v>282</v>
      </c>
      <c r="I71" s="55" t="s">
        <v>283</v>
      </c>
    </row>
    <row r="72" spans="1:9" x14ac:dyDescent="0.3">
      <c r="A72" s="52" t="s">
        <v>272</v>
      </c>
      <c r="B72" s="53" t="s">
        <v>273</v>
      </c>
      <c r="C72" s="52" t="s">
        <v>100</v>
      </c>
      <c r="D72" s="52" t="s">
        <v>101</v>
      </c>
      <c r="E72" s="52" t="s">
        <v>151</v>
      </c>
      <c r="F72" s="54">
        <v>50.883890000000001</v>
      </c>
      <c r="G72" s="54">
        <v>15.811109999999999</v>
      </c>
      <c r="H72" s="53" t="s">
        <v>284</v>
      </c>
      <c r="I72" s="55" t="s">
        <v>285</v>
      </c>
    </row>
    <row r="73" spans="1:9" x14ac:dyDescent="0.3">
      <c r="A73" s="52" t="s">
        <v>286</v>
      </c>
      <c r="B73" s="53" t="s">
        <v>287</v>
      </c>
      <c r="C73" s="52" t="s">
        <v>100</v>
      </c>
      <c r="D73" s="52" t="s">
        <v>101</v>
      </c>
      <c r="E73" s="52" t="s">
        <v>102</v>
      </c>
      <c r="F73" s="54">
        <v>50.961109999999998</v>
      </c>
      <c r="G73" s="54">
        <v>15.796390000000001</v>
      </c>
      <c r="H73" s="53" t="s">
        <v>274</v>
      </c>
      <c r="I73" s="55" t="s">
        <v>288</v>
      </c>
    </row>
    <row r="74" spans="1:9" x14ac:dyDescent="0.3">
      <c r="A74" s="52" t="s">
        <v>286</v>
      </c>
      <c r="B74" s="53" t="s">
        <v>287</v>
      </c>
      <c r="C74" s="52" t="s">
        <v>100</v>
      </c>
      <c r="D74" s="52" t="s">
        <v>101</v>
      </c>
      <c r="E74" s="52" t="s">
        <v>130</v>
      </c>
      <c r="F74" s="54">
        <v>50.874720000000003</v>
      </c>
      <c r="G74" s="54">
        <v>15.92</v>
      </c>
      <c r="H74" s="53" t="s">
        <v>276</v>
      </c>
      <c r="I74" s="55" t="s">
        <v>289</v>
      </c>
    </row>
    <row r="75" spans="1:9" x14ac:dyDescent="0.3">
      <c r="A75" s="52" t="s">
        <v>286</v>
      </c>
      <c r="B75" s="53" t="s">
        <v>287</v>
      </c>
      <c r="C75" s="52" t="s">
        <v>100</v>
      </c>
      <c r="D75" s="52" t="s">
        <v>101</v>
      </c>
      <c r="E75" s="52" t="s">
        <v>145</v>
      </c>
      <c r="F75" s="54">
        <v>50.963610000000003</v>
      </c>
      <c r="G75" s="54">
        <v>15.645</v>
      </c>
      <c r="H75" s="53" t="s">
        <v>278</v>
      </c>
      <c r="I75" s="55" t="s">
        <v>290</v>
      </c>
    </row>
    <row r="76" spans="1:9" x14ac:dyDescent="0.3">
      <c r="A76" s="52" t="s">
        <v>286</v>
      </c>
      <c r="B76" s="53" t="s">
        <v>287</v>
      </c>
      <c r="C76" s="52" t="s">
        <v>100</v>
      </c>
      <c r="D76" s="52" t="s">
        <v>101</v>
      </c>
      <c r="E76" s="52" t="s">
        <v>189</v>
      </c>
      <c r="F76" s="54">
        <v>50.829439999999998</v>
      </c>
      <c r="G76" s="54">
        <v>15.70722</v>
      </c>
      <c r="H76" s="53" t="s">
        <v>280</v>
      </c>
      <c r="I76" s="55" t="s">
        <v>291</v>
      </c>
    </row>
    <row r="77" spans="1:9" x14ac:dyDescent="0.3">
      <c r="A77" s="52" t="s">
        <v>286</v>
      </c>
      <c r="B77" s="53" t="s">
        <v>287</v>
      </c>
      <c r="C77" s="52" t="s">
        <v>100</v>
      </c>
      <c r="D77" s="52" t="s">
        <v>101</v>
      </c>
      <c r="E77" s="52" t="s">
        <v>195</v>
      </c>
      <c r="F77" s="54">
        <v>50.938330000000001</v>
      </c>
      <c r="G77" s="54">
        <v>15.90917</v>
      </c>
      <c r="H77" s="53" t="s">
        <v>282</v>
      </c>
      <c r="I77" s="55" t="s">
        <v>292</v>
      </c>
    </row>
    <row r="78" spans="1:9" x14ac:dyDescent="0.3">
      <c r="A78" s="52" t="s">
        <v>286</v>
      </c>
      <c r="B78" s="53" t="s">
        <v>287</v>
      </c>
      <c r="C78" s="52" t="s">
        <v>100</v>
      </c>
      <c r="D78" s="52" t="s">
        <v>101</v>
      </c>
      <c r="E78" s="52" t="s">
        <v>151</v>
      </c>
      <c r="F78" s="54">
        <v>50.883890000000001</v>
      </c>
      <c r="G78" s="54">
        <v>15.811109999999999</v>
      </c>
      <c r="H78" s="53" t="s">
        <v>284</v>
      </c>
      <c r="I78" s="55" t="s">
        <v>293</v>
      </c>
    </row>
    <row r="79" spans="1:9" x14ac:dyDescent="0.3">
      <c r="A79" s="52" t="s">
        <v>294</v>
      </c>
      <c r="B79" s="53" t="s">
        <v>295</v>
      </c>
      <c r="C79" s="52" t="s">
        <v>100</v>
      </c>
      <c r="D79" s="52" t="s">
        <v>101</v>
      </c>
      <c r="E79" s="52" t="s">
        <v>118</v>
      </c>
      <c r="F79" s="54">
        <v>50.801940000000002</v>
      </c>
      <c r="G79" s="54">
        <v>20.80611</v>
      </c>
      <c r="H79" s="53" t="s">
        <v>296</v>
      </c>
      <c r="I79" s="55" t="s">
        <v>297</v>
      </c>
    </row>
    <row r="80" spans="1:9" x14ac:dyDescent="0.3">
      <c r="A80" s="52" t="s">
        <v>294</v>
      </c>
      <c r="B80" s="53" t="s">
        <v>295</v>
      </c>
      <c r="C80" s="52" t="s">
        <v>100</v>
      </c>
      <c r="D80" s="52" t="s">
        <v>101</v>
      </c>
      <c r="E80" s="52" t="s">
        <v>133</v>
      </c>
      <c r="F80" s="54">
        <v>50.908610000000003</v>
      </c>
      <c r="G80" s="54">
        <v>20.579719999999998</v>
      </c>
      <c r="H80" s="53" t="s">
        <v>298</v>
      </c>
      <c r="I80" s="55" t="s">
        <v>299</v>
      </c>
    </row>
    <row r="81" spans="1:9" x14ac:dyDescent="0.3">
      <c r="A81" s="52" t="s">
        <v>294</v>
      </c>
      <c r="B81" s="53" t="s">
        <v>295</v>
      </c>
      <c r="C81" s="52" t="s">
        <v>100</v>
      </c>
      <c r="D81" s="52" t="s">
        <v>101</v>
      </c>
      <c r="E81" s="52" t="s">
        <v>148</v>
      </c>
      <c r="F81" s="54">
        <v>50.841389999999997</v>
      </c>
      <c r="G81" s="54">
        <v>20.641940000000002</v>
      </c>
      <c r="H81" s="53" t="s">
        <v>300</v>
      </c>
      <c r="I81" s="55" t="s">
        <v>301</v>
      </c>
    </row>
    <row r="82" spans="1:9" x14ac:dyDescent="0.3">
      <c r="A82" s="52" t="s">
        <v>294</v>
      </c>
      <c r="B82" s="53" t="s">
        <v>295</v>
      </c>
      <c r="C82" s="52" t="s">
        <v>100</v>
      </c>
      <c r="D82" s="52" t="s">
        <v>101</v>
      </c>
      <c r="E82" s="52" t="s">
        <v>195</v>
      </c>
      <c r="F82" s="54">
        <v>50.845559999999999</v>
      </c>
      <c r="G82" s="54">
        <v>20.857220000000002</v>
      </c>
      <c r="H82" s="53" t="s">
        <v>302</v>
      </c>
      <c r="I82" s="55" t="s">
        <v>303</v>
      </c>
    </row>
    <row r="83" spans="1:9" x14ac:dyDescent="0.3">
      <c r="A83" s="52" t="s">
        <v>294</v>
      </c>
      <c r="B83" s="53" t="s">
        <v>295</v>
      </c>
      <c r="C83" s="52" t="s">
        <v>100</v>
      </c>
      <c r="D83" s="52" t="s">
        <v>101</v>
      </c>
      <c r="E83" s="52" t="s">
        <v>151</v>
      </c>
      <c r="F83" s="54">
        <v>50.974719999999998</v>
      </c>
      <c r="G83" s="54">
        <v>20.660830000000001</v>
      </c>
      <c r="H83" s="53" t="s">
        <v>304</v>
      </c>
      <c r="I83" s="55" t="s">
        <v>305</v>
      </c>
    </row>
    <row r="84" spans="1:9" x14ac:dyDescent="0.3">
      <c r="A84" s="52" t="s">
        <v>306</v>
      </c>
      <c r="B84" s="53" t="s">
        <v>307</v>
      </c>
      <c r="C84" s="52" t="s">
        <v>100</v>
      </c>
      <c r="D84" s="52" t="s">
        <v>101</v>
      </c>
      <c r="E84" s="52" t="s">
        <v>121</v>
      </c>
      <c r="F84" s="54">
        <v>54.011940000000003</v>
      </c>
      <c r="G84" s="54">
        <v>21.58361</v>
      </c>
      <c r="H84" s="53" t="s">
        <v>308</v>
      </c>
      <c r="I84" s="55" t="s">
        <v>309</v>
      </c>
    </row>
    <row r="85" spans="1:9" x14ac:dyDescent="0.3">
      <c r="A85" s="52" t="s">
        <v>306</v>
      </c>
      <c r="B85" s="53" t="s">
        <v>307</v>
      </c>
      <c r="C85" s="52" t="s">
        <v>100</v>
      </c>
      <c r="D85" s="52" t="s">
        <v>101</v>
      </c>
      <c r="E85" s="52" t="s">
        <v>189</v>
      </c>
      <c r="F85" s="54">
        <v>53.953330000000001</v>
      </c>
      <c r="G85" s="54">
        <v>21.371390000000002</v>
      </c>
      <c r="H85" s="53" t="s">
        <v>310</v>
      </c>
      <c r="I85" s="55" t="s">
        <v>311</v>
      </c>
    </row>
    <row r="86" spans="1:9" x14ac:dyDescent="0.3">
      <c r="A86" s="52" t="s">
        <v>306</v>
      </c>
      <c r="B86" s="53" t="s">
        <v>307</v>
      </c>
      <c r="C86" s="52" t="s">
        <v>100</v>
      </c>
      <c r="D86" s="52" t="s">
        <v>101</v>
      </c>
      <c r="E86" s="52" t="s">
        <v>195</v>
      </c>
      <c r="F86" s="54">
        <v>54.025559999999999</v>
      </c>
      <c r="G86" s="54">
        <v>21.217220000000001</v>
      </c>
      <c r="H86" s="53" t="s">
        <v>312</v>
      </c>
      <c r="I86" s="55" t="s">
        <v>313</v>
      </c>
    </row>
    <row r="87" spans="1:9" x14ac:dyDescent="0.3">
      <c r="A87" s="52" t="s">
        <v>314</v>
      </c>
      <c r="B87" s="53" t="s">
        <v>315</v>
      </c>
      <c r="C87" s="52" t="s">
        <v>208</v>
      </c>
      <c r="D87" s="52" t="s">
        <v>174</v>
      </c>
      <c r="E87" s="52" t="s">
        <v>105</v>
      </c>
      <c r="F87" s="54">
        <v>50.264719999999997</v>
      </c>
      <c r="G87" s="54">
        <v>19.434719999999999</v>
      </c>
      <c r="H87" s="53" t="s">
        <v>239</v>
      </c>
      <c r="I87" s="55" t="s">
        <v>316</v>
      </c>
    </row>
    <row r="88" spans="1:9" x14ac:dyDescent="0.3">
      <c r="A88" s="52" t="s">
        <v>314</v>
      </c>
      <c r="B88" s="53" t="s">
        <v>315</v>
      </c>
      <c r="C88" s="52" t="s">
        <v>208</v>
      </c>
      <c r="D88" s="52" t="s">
        <v>174</v>
      </c>
      <c r="E88" s="52" t="s">
        <v>118</v>
      </c>
      <c r="F88" s="54">
        <v>49.856940000000002</v>
      </c>
      <c r="G88" s="54">
        <v>20.141670000000001</v>
      </c>
      <c r="H88" s="53" t="s">
        <v>317</v>
      </c>
      <c r="I88" s="55" t="s">
        <v>318</v>
      </c>
    </row>
    <row r="89" spans="1:9" x14ac:dyDescent="0.3">
      <c r="A89" s="52" t="s">
        <v>314</v>
      </c>
      <c r="B89" s="53" t="s">
        <v>315</v>
      </c>
      <c r="C89" s="52" t="s">
        <v>208</v>
      </c>
      <c r="D89" s="52" t="s">
        <v>174</v>
      </c>
      <c r="E89" s="52" t="s">
        <v>121</v>
      </c>
      <c r="F89" s="54">
        <v>50.041939999999997</v>
      </c>
      <c r="G89" s="54">
        <v>20.09778</v>
      </c>
      <c r="H89" s="53" t="s">
        <v>319</v>
      </c>
      <c r="I89" s="55" t="s">
        <v>320</v>
      </c>
    </row>
    <row r="90" spans="1:9" x14ac:dyDescent="0.3">
      <c r="A90" s="52" t="s">
        <v>314</v>
      </c>
      <c r="B90" s="53" t="s">
        <v>315</v>
      </c>
      <c r="C90" s="52" t="s">
        <v>208</v>
      </c>
      <c r="D90" s="52" t="s">
        <v>174</v>
      </c>
      <c r="E90" s="52" t="s">
        <v>243</v>
      </c>
      <c r="F90" s="54">
        <v>50.318060000000003</v>
      </c>
      <c r="G90" s="54">
        <v>19.237220000000001</v>
      </c>
      <c r="H90" s="53" t="s">
        <v>321</v>
      </c>
      <c r="I90" s="55" t="s">
        <v>322</v>
      </c>
    </row>
    <row r="91" spans="1:9" x14ac:dyDescent="0.3">
      <c r="A91" s="52" t="s">
        <v>314</v>
      </c>
      <c r="B91" s="53" t="s">
        <v>315</v>
      </c>
      <c r="C91" s="52" t="s">
        <v>208</v>
      </c>
      <c r="D91" s="52" t="s">
        <v>174</v>
      </c>
      <c r="E91" s="52" t="s">
        <v>211</v>
      </c>
      <c r="F91" s="54">
        <v>50.15</v>
      </c>
      <c r="G91" s="54">
        <v>19.633330000000001</v>
      </c>
      <c r="H91" s="53" t="s">
        <v>323</v>
      </c>
      <c r="I91" s="55" t="s">
        <v>324</v>
      </c>
    </row>
    <row r="92" spans="1:9" x14ac:dyDescent="0.3">
      <c r="A92" s="52" t="s">
        <v>314</v>
      </c>
      <c r="B92" s="53" t="s">
        <v>315</v>
      </c>
      <c r="C92" s="52" t="s">
        <v>208</v>
      </c>
      <c r="D92" s="52" t="s">
        <v>174</v>
      </c>
      <c r="E92" s="52" t="s">
        <v>133</v>
      </c>
      <c r="F92" s="54">
        <v>50.05</v>
      </c>
      <c r="G92" s="54">
        <v>19.8</v>
      </c>
      <c r="H92" s="53" t="s">
        <v>325</v>
      </c>
      <c r="I92" s="55" t="s">
        <v>326</v>
      </c>
    </row>
    <row r="93" spans="1:9" x14ac:dyDescent="0.3">
      <c r="A93" s="52" t="s">
        <v>314</v>
      </c>
      <c r="B93" s="53" t="s">
        <v>315</v>
      </c>
      <c r="C93" s="52" t="s">
        <v>208</v>
      </c>
      <c r="D93" s="52" t="s">
        <v>174</v>
      </c>
      <c r="E93" s="52" t="s">
        <v>160</v>
      </c>
      <c r="F93" s="54">
        <v>50.136389999999999</v>
      </c>
      <c r="G93" s="54">
        <v>20.114439999999998</v>
      </c>
      <c r="H93" s="53" t="s">
        <v>327</v>
      </c>
      <c r="I93" s="55" t="s">
        <v>328</v>
      </c>
    </row>
    <row r="94" spans="1:9" x14ac:dyDescent="0.3">
      <c r="A94" s="52" t="s">
        <v>314</v>
      </c>
      <c r="B94" s="53" t="s">
        <v>315</v>
      </c>
      <c r="C94" s="52" t="s">
        <v>208</v>
      </c>
      <c r="D94" s="52" t="s">
        <v>174</v>
      </c>
      <c r="E94" s="52" t="s">
        <v>139</v>
      </c>
      <c r="F94" s="54">
        <v>50.35</v>
      </c>
      <c r="G94" s="54">
        <v>20.033329999999999</v>
      </c>
      <c r="H94" s="53" t="s">
        <v>329</v>
      </c>
      <c r="I94" s="55" t="s">
        <v>330</v>
      </c>
    </row>
    <row r="95" spans="1:9" x14ac:dyDescent="0.3">
      <c r="A95" s="52" t="s">
        <v>314</v>
      </c>
      <c r="B95" s="53" t="s">
        <v>315</v>
      </c>
      <c r="C95" s="52" t="s">
        <v>208</v>
      </c>
      <c r="D95" s="52" t="s">
        <v>174</v>
      </c>
      <c r="E95" s="52" t="s">
        <v>163</v>
      </c>
      <c r="F95" s="54">
        <v>50.2</v>
      </c>
      <c r="G95" s="54">
        <v>19.883330000000001</v>
      </c>
      <c r="H95" s="53" t="s">
        <v>331</v>
      </c>
      <c r="I95" s="55" t="s">
        <v>332</v>
      </c>
    </row>
    <row r="96" spans="1:9" x14ac:dyDescent="0.3">
      <c r="A96" s="52" t="s">
        <v>314</v>
      </c>
      <c r="B96" s="53" t="s">
        <v>315</v>
      </c>
      <c r="C96" s="52" t="s">
        <v>208</v>
      </c>
      <c r="D96" s="52" t="s">
        <v>174</v>
      </c>
      <c r="E96" s="52" t="s">
        <v>168</v>
      </c>
      <c r="F96" s="54">
        <v>49.910829999999997</v>
      </c>
      <c r="G96" s="54">
        <v>19.412780000000001</v>
      </c>
      <c r="H96" s="53" t="s">
        <v>333</v>
      </c>
      <c r="I96" s="55" t="s">
        <v>334</v>
      </c>
    </row>
    <row r="97" spans="1:9" x14ac:dyDescent="0.3">
      <c r="A97" s="52" t="s">
        <v>314</v>
      </c>
      <c r="B97" s="53" t="s">
        <v>315</v>
      </c>
      <c r="C97" s="52" t="s">
        <v>208</v>
      </c>
      <c r="D97" s="52" t="s">
        <v>174</v>
      </c>
      <c r="E97" s="52" t="s">
        <v>189</v>
      </c>
      <c r="F97" s="54">
        <v>49.983330000000002</v>
      </c>
      <c r="G97" s="54">
        <v>19.816669999999998</v>
      </c>
      <c r="H97" s="53" t="s">
        <v>335</v>
      </c>
      <c r="I97" s="55" t="s">
        <v>336</v>
      </c>
    </row>
    <row r="98" spans="1:9" x14ac:dyDescent="0.3">
      <c r="A98" s="52" t="s">
        <v>314</v>
      </c>
      <c r="B98" s="53" t="s">
        <v>315</v>
      </c>
      <c r="C98" s="52" t="s">
        <v>208</v>
      </c>
      <c r="D98" s="52" t="s">
        <v>174</v>
      </c>
      <c r="E98" s="52" t="s">
        <v>192</v>
      </c>
      <c r="F98" s="54">
        <v>49.791939999999997</v>
      </c>
      <c r="G98" s="54">
        <v>19.77806</v>
      </c>
      <c r="H98" s="53" t="s">
        <v>337</v>
      </c>
      <c r="I98" s="55" t="s">
        <v>338</v>
      </c>
    </row>
    <row r="99" spans="1:9" x14ac:dyDescent="0.3">
      <c r="A99" s="52" t="s">
        <v>314</v>
      </c>
      <c r="B99" s="53" t="s">
        <v>315</v>
      </c>
      <c r="C99" s="52" t="s">
        <v>208</v>
      </c>
      <c r="D99" s="52" t="s">
        <v>174</v>
      </c>
      <c r="E99" s="52" t="s">
        <v>151</v>
      </c>
      <c r="F99" s="54">
        <v>50.109169999999999</v>
      </c>
      <c r="G99" s="54">
        <v>19.779440000000001</v>
      </c>
      <c r="H99" s="53" t="s">
        <v>339</v>
      </c>
      <c r="I99" s="55" t="s">
        <v>340</v>
      </c>
    </row>
    <row r="100" spans="1:9" x14ac:dyDescent="0.3">
      <c r="A100" s="52" t="s">
        <v>341</v>
      </c>
      <c r="B100" s="53" t="s">
        <v>342</v>
      </c>
      <c r="C100" s="52" t="s">
        <v>100</v>
      </c>
      <c r="D100" s="52" t="s">
        <v>101</v>
      </c>
      <c r="E100" s="52" t="s">
        <v>105</v>
      </c>
      <c r="F100" s="54">
        <v>50.264719999999997</v>
      </c>
      <c r="G100" s="54">
        <v>19.434719999999999</v>
      </c>
      <c r="H100" s="53" t="s">
        <v>239</v>
      </c>
      <c r="I100" s="55" t="s">
        <v>343</v>
      </c>
    </row>
    <row r="101" spans="1:9" x14ac:dyDescent="0.3">
      <c r="A101" s="52" t="s">
        <v>341</v>
      </c>
      <c r="B101" s="53" t="s">
        <v>342</v>
      </c>
      <c r="C101" s="52" t="s">
        <v>100</v>
      </c>
      <c r="D101" s="52" t="s">
        <v>101</v>
      </c>
      <c r="E101" s="52" t="s">
        <v>127</v>
      </c>
      <c r="F101" s="54">
        <v>50.40361</v>
      </c>
      <c r="G101" s="54">
        <v>19.055</v>
      </c>
      <c r="H101" s="53" t="s">
        <v>241</v>
      </c>
      <c r="I101" s="55" t="s">
        <v>344</v>
      </c>
    </row>
    <row r="102" spans="1:9" x14ac:dyDescent="0.3">
      <c r="A102" s="52" t="s">
        <v>341</v>
      </c>
      <c r="B102" s="53" t="s">
        <v>342</v>
      </c>
      <c r="C102" s="52" t="s">
        <v>100</v>
      </c>
      <c r="D102" s="52" t="s">
        <v>101</v>
      </c>
      <c r="E102" s="52" t="s">
        <v>243</v>
      </c>
      <c r="F102" s="54">
        <v>50.318060000000003</v>
      </c>
      <c r="G102" s="54">
        <v>19.237220000000001</v>
      </c>
      <c r="H102" s="53" t="s">
        <v>244</v>
      </c>
      <c r="I102" s="55" t="s">
        <v>345</v>
      </c>
    </row>
    <row r="103" spans="1:9" x14ac:dyDescent="0.3">
      <c r="A103" s="52" t="s">
        <v>341</v>
      </c>
      <c r="B103" s="53" t="s">
        <v>342</v>
      </c>
      <c r="C103" s="52" t="s">
        <v>100</v>
      </c>
      <c r="D103" s="52" t="s">
        <v>101</v>
      </c>
      <c r="E103" s="52" t="s">
        <v>139</v>
      </c>
      <c r="F103" s="54">
        <v>50.178890000000003</v>
      </c>
      <c r="G103" s="54">
        <v>18.906939999999999</v>
      </c>
      <c r="H103" s="53" t="s">
        <v>346</v>
      </c>
      <c r="I103" s="55" t="s">
        <v>347</v>
      </c>
    </row>
    <row r="104" spans="1:9" x14ac:dyDescent="0.3">
      <c r="A104" s="52" t="s">
        <v>341</v>
      </c>
      <c r="B104" s="53" t="s">
        <v>342</v>
      </c>
      <c r="C104" s="52" t="s">
        <v>100</v>
      </c>
      <c r="D104" s="52" t="s">
        <v>101</v>
      </c>
      <c r="E104" s="52" t="s">
        <v>145</v>
      </c>
      <c r="F104" s="54">
        <v>50.39472</v>
      </c>
      <c r="G104" s="54">
        <v>18.629169999999998</v>
      </c>
      <c r="H104" s="53" t="s">
        <v>248</v>
      </c>
      <c r="I104" s="55" t="s">
        <v>348</v>
      </c>
    </row>
    <row r="105" spans="1:9" x14ac:dyDescent="0.3">
      <c r="A105" s="52" t="s">
        <v>341</v>
      </c>
      <c r="B105" s="53" t="s">
        <v>342</v>
      </c>
      <c r="C105" s="52" t="s">
        <v>100</v>
      </c>
      <c r="D105" s="52" t="s">
        <v>101</v>
      </c>
      <c r="E105" s="52" t="s">
        <v>189</v>
      </c>
      <c r="F105" s="54">
        <v>50.1325</v>
      </c>
      <c r="G105" s="54">
        <v>19.024999999999999</v>
      </c>
      <c r="H105" s="53" t="s">
        <v>250</v>
      </c>
      <c r="I105" s="55" t="s">
        <v>349</v>
      </c>
    </row>
    <row r="106" spans="1:9" x14ac:dyDescent="0.3">
      <c r="A106" s="52" t="s">
        <v>341</v>
      </c>
      <c r="B106" s="53" t="s">
        <v>342</v>
      </c>
      <c r="C106" s="52" t="s">
        <v>100</v>
      </c>
      <c r="D106" s="52" t="s">
        <v>101</v>
      </c>
      <c r="E106" s="52" t="s">
        <v>148</v>
      </c>
      <c r="F106" s="54">
        <v>50.35389</v>
      </c>
      <c r="G106" s="54">
        <v>18.866389999999999</v>
      </c>
      <c r="H106" s="53" t="s">
        <v>252</v>
      </c>
      <c r="I106" s="55" t="s">
        <v>350</v>
      </c>
    </row>
    <row r="107" spans="1:9" x14ac:dyDescent="0.3">
      <c r="A107" s="52" t="s">
        <v>351</v>
      </c>
      <c r="B107" s="53" t="s">
        <v>352</v>
      </c>
      <c r="C107" s="52" t="s">
        <v>100</v>
      </c>
      <c r="D107" s="52" t="s">
        <v>101</v>
      </c>
      <c r="E107" s="52" t="s">
        <v>142</v>
      </c>
      <c r="F107" s="54">
        <v>50.120280000000001</v>
      </c>
      <c r="G107" s="54">
        <v>20.378889999999998</v>
      </c>
      <c r="H107" s="53" t="s">
        <v>353</v>
      </c>
      <c r="I107" s="55" t="s">
        <v>354</v>
      </c>
    </row>
    <row r="108" spans="1:9" x14ac:dyDescent="0.3">
      <c r="A108" s="52" t="s">
        <v>351</v>
      </c>
      <c r="B108" s="53" t="s">
        <v>352</v>
      </c>
      <c r="C108" s="52" t="s">
        <v>100</v>
      </c>
      <c r="D108" s="52" t="s">
        <v>101</v>
      </c>
      <c r="E108" s="52" t="s">
        <v>145</v>
      </c>
      <c r="F108" s="54">
        <v>50.021389999999997</v>
      </c>
      <c r="G108" s="54">
        <v>20.15194</v>
      </c>
      <c r="H108" s="53" t="s">
        <v>355</v>
      </c>
      <c r="I108" s="55" t="s">
        <v>356</v>
      </c>
    </row>
    <row r="109" spans="1:9" x14ac:dyDescent="0.3">
      <c r="A109" s="52" t="s">
        <v>351</v>
      </c>
      <c r="B109" s="53" t="s">
        <v>352</v>
      </c>
      <c r="C109" s="52" t="s">
        <v>100</v>
      </c>
      <c r="D109" s="52" t="s">
        <v>101</v>
      </c>
      <c r="E109" s="52" t="s">
        <v>148</v>
      </c>
      <c r="F109" s="54">
        <v>50.111939999999997</v>
      </c>
      <c r="G109" s="54">
        <v>20.23556</v>
      </c>
      <c r="H109" s="53" t="s">
        <v>357</v>
      </c>
      <c r="I109" s="55" t="s">
        <v>358</v>
      </c>
    </row>
    <row r="110" spans="1:9" x14ac:dyDescent="0.3">
      <c r="A110" s="52" t="s">
        <v>351</v>
      </c>
      <c r="B110" s="53" t="s">
        <v>352</v>
      </c>
      <c r="C110" s="52" t="s">
        <v>100</v>
      </c>
      <c r="D110" s="52" t="s">
        <v>101</v>
      </c>
      <c r="E110" s="52" t="s">
        <v>151</v>
      </c>
      <c r="F110" s="54">
        <v>50.053060000000002</v>
      </c>
      <c r="G110" s="54">
        <v>20.329440000000002</v>
      </c>
      <c r="H110" s="53" t="s">
        <v>359</v>
      </c>
      <c r="I110" s="55" t="s">
        <v>360</v>
      </c>
    </row>
    <row r="111" spans="1:9" x14ac:dyDescent="0.3">
      <c r="A111" s="52" t="s">
        <v>361</v>
      </c>
      <c r="B111" s="53" t="s">
        <v>362</v>
      </c>
      <c r="C111" s="52" t="s">
        <v>100</v>
      </c>
      <c r="D111" s="52" t="s">
        <v>101</v>
      </c>
      <c r="E111" s="52" t="s">
        <v>105</v>
      </c>
      <c r="F111" s="54">
        <v>49.762500000000003</v>
      </c>
      <c r="G111" s="54">
        <v>21.684719999999999</v>
      </c>
      <c r="H111" s="53" t="s">
        <v>363</v>
      </c>
      <c r="I111" s="55" t="s">
        <v>364</v>
      </c>
    </row>
    <row r="112" spans="1:9" x14ac:dyDescent="0.3">
      <c r="A112" s="52" t="s">
        <v>361</v>
      </c>
      <c r="B112" s="53" t="s">
        <v>362</v>
      </c>
      <c r="C112" s="52" t="s">
        <v>100</v>
      </c>
      <c r="D112" s="52" t="s">
        <v>101</v>
      </c>
      <c r="E112" s="52" t="s">
        <v>243</v>
      </c>
      <c r="F112" s="54">
        <v>49.670279999999998</v>
      </c>
      <c r="G112" s="54">
        <v>21.88917</v>
      </c>
      <c r="H112" s="53" t="s">
        <v>365</v>
      </c>
      <c r="I112" s="55" t="s">
        <v>366</v>
      </c>
    </row>
    <row r="113" spans="1:9" x14ac:dyDescent="0.3">
      <c r="A113" s="52" t="s">
        <v>361</v>
      </c>
      <c r="B113" s="53" t="s">
        <v>362</v>
      </c>
      <c r="C113" s="52" t="s">
        <v>100</v>
      </c>
      <c r="D113" s="52" t="s">
        <v>101</v>
      </c>
      <c r="E113" s="52" t="s">
        <v>211</v>
      </c>
      <c r="F113" s="54">
        <v>49.604999999999997</v>
      </c>
      <c r="G113" s="54">
        <v>21.806940000000001</v>
      </c>
      <c r="H113" s="53" t="s">
        <v>367</v>
      </c>
      <c r="I113" s="55" t="s">
        <v>368</v>
      </c>
    </row>
    <row r="114" spans="1:9" x14ac:dyDescent="0.3">
      <c r="A114" s="52" t="s">
        <v>361</v>
      </c>
      <c r="B114" s="53" t="s">
        <v>362</v>
      </c>
      <c r="C114" s="52" t="s">
        <v>100</v>
      </c>
      <c r="D114" s="52" t="s">
        <v>101</v>
      </c>
      <c r="E114" s="52" t="s">
        <v>133</v>
      </c>
      <c r="F114" s="54">
        <v>49.665559999999999</v>
      </c>
      <c r="G114" s="54">
        <v>21.61083</v>
      </c>
      <c r="H114" s="53" t="s">
        <v>369</v>
      </c>
      <c r="I114" s="55" t="s">
        <v>370</v>
      </c>
    </row>
    <row r="115" spans="1:9" x14ac:dyDescent="0.3">
      <c r="A115" s="52" t="s">
        <v>371</v>
      </c>
      <c r="B115" s="53" t="s">
        <v>372</v>
      </c>
      <c r="C115" s="52" t="s">
        <v>208</v>
      </c>
      <c r="D115" s="52" t="s">
        <v>174</v>
      </c>
      <c r="E115" s="52" t="s">
        <v>105</v>
      </c>
      <c r="F115" s="54">
        <v>50.264719999999997</v>
      </c>
      <c r="G115" s="54">
        <v>19.434719999999999</v>
      </c>
      <c r="H115" s="53" t="s">
        <v>239</v>
      </c>
      <c r="I115" s="55" t="s">
        <v>373</v>
      </c>
    </row>
    <row r="116" spans="1:9" x14ac:dyDescent="0.3">
      <c r="A116" s="52" t="s">
        <v>371</v>
      </c>
      <c r="B116" s="53" t="s">
        <v>372</v>
      </c>
      <c r="C116" s="52" t="s">
        <v>208</v>
      </c>
      <c r="D116" s="52" t="s">
        <v>174</v>
      </c>
      <c r="E116" s="52" t="s">
        <v>108</v>
      </c>
      <c r="F116" s="54">
        <v>50.623609999999999</v>
      </c>
      <c r="G116" s="54">
        <v>18.836110000000001</v>
      </c>
      <c r="H116" s="53" t="s">
        <v>374</v>
      </c>
      <c r="I116" s="55" t="s">
        <v>375</v>
      </c>
    </row>
    <row r="117" spans="1:9" x14ac:dyDescent="0.3">
      <c r="A117" s="52" t="s">
        <v>371</v>
      </c>
      <c r="B117" s="53" t="s">
        <v>372</v>
      </c>
      <c r="C117" s="52" t="s">
        <v>208</v>
      </c>
      <c r="D117" s="52" t="s">
        <v>174</v>
      </c>
      <c r="E117" s="52" t="s">
        <v>127</v>
      </c>
      <c r="F117" s="54">
        <v>50.40361</v>
      </c>
      <c r="G117" s="54">
        <v>19.055</v>
      </c>
      <c r="H117" s="53" t="s">
        <v>241</v>
      </c>
      <c r="I117" s="55" t="s">
        <v>376</v>
      </c>
    </row>
    <row r="118" spans="1:9" x14ac:dyDescent="0.3">
      <c r="A118" s="52" t="s">
        <v>371</v>
      </c>
      <c r="B118" s="53" t="s">
        <v>372</v>
      </c>
      <c r="C118" s="52" t="s">
        <v>208</v>
      </c>
      <c r="D118" s="52" t="s">
        <v>174</v>
      </c>
      <c r="E118" s="52" t="s">
        <v>243</v>
      </c>
      <c r="F118" s="54">
        <v>50.318060000000003</v>
      </c>
      <c r="G118" s="54">
        <v>19.237220000000001</v>
      </c>
      <c r="H118" s="53" t="s">
        <v>321</v>
      </c>
      <c r="I118" s="55" t="s">
        <v>377</v>
      </c>
    </row>
    <row r="119" spans="1:9" x14ac:dyDescent="0.3">
      <c r="A119" s="52" t="s">
        <v>371</v>
      </c>
      <c r="B119" s="53" t="s">
        <v>372</v>
      </c>
      <c r="C119" s="52" t="s">
        <v>208</v>
      </c>
      <c r="D119" s="52" t="s">
        <v>174</v>
      </c>
      <c r="E119" s="52" t="s">
        <v>211</v>
      </c>
      <c r="F119" s="54">
        <v>50.15</v>
      </c>
      <c r="G119" s="54">
        <v>19.633330000000001</v>
      </c>
      <c r="H119" s="53" t="s">
        <v>323</v>
      </c>
      <c r="I119" s="55" t="s">
        <v>378</v>
      </c>
    </row>
    <row r="120" spans="1:9" x14ac:dyDescent="0.3">
      <c r="A120" s="52" t="s">
        <v>371</v>
      </c>
      <c r="B120" s="53" t="s">
        <v>372</v>
      </c>
      <c r="C120" s="52" t="s">
        <v>208</v>
      </c>
      <c r="D120" s="52" t="s">
        <v>174</v>
      </c>
      <c r="E120" s="52" t="s">
        <v>130</v>
      </c>
      <c r="F120" s="54">
        <v>50.671669999999999</v>
      </c>
      <c r="G120" s="54">
        <v>19.204999999999998</v>
      </c>
      <c r="H120" s="53" t="s">
        <v>379</v>
      </c>
      <c r="I120" s="55" t="s">
        <v>380</v>
      </c>
    </row>
    <row r="121" spans="1:9" x14ac:dyDescent="0.3">
      <c r="A121" s="52" t="s">
        <v>371</v>
      </c>
      <c r="B121" s="53" t="s">
        <v>372</v>
      </c>
      <c r="C121" s="52" t="s">
        <v>208</v>
      </c>
      <c r="D121" s="52" t="s">
        <v>174</v>
      </c>
      <c r="E121" s="52" t="s">
        <v>142</v>
      </c>
      <c r="F121" s="54">
        <v>50.497219999999999</v>
      </c>
      <c r="G121" s="54">
        <v>19.079170000000001</v>
      </c>
      <c r="H121" s="53" t="s">
        <v>381</v>
      </c>
      <c r="I121" s="55" t="s">
        <v>382</v>
      </c>
    </row>
    <row r="122" spans="1:9" x14ac:dyDescent="0.3">
      <c r="A122" s="52" t="s">
        <v>371</v>
      </c>
      <c r="B122" s="53" t="s">
        <v>372</v>
      </c>
      <c r="C122" s="52" t="s">
        <v>208</v>
      </c>
      <c r="D122" s="52" t="s">
        <v>174</v>
      </c>
      <c r="E122" s="52" t="s">
        <v>148</v>
      </c>
      <c r="F122" s="54">
        <v>50.35389</v>
      </c>
      <c r="G122" s="54">
        <v>18.866389999999999</v>
      </c>
      <c r="H122" s="53" t="s">
        <v>383</v>
      </c>
      <c r="I122" s="55" t="s">
        <v>384</v>
      </c>
    </row>
    <row r="123" spans="1:9" x14ac:dyDescent="0.3">
      <c r="A123" s="52" t="s">
        <v>371</v>
      </c>
      <c r="B123" s="53" t="s">
        <v>372</v>
      </c>
      <c r="C123" s="52" t="s">
        <v>208</v>
      </c>
      <c r="D123" s="52" t="s">
        <v>174</v>
      </c>
      <c r="E123" s="52" t="s">
        <v>195</v>
      </c>
      <c r="F123" s="54">
        <v>50.583329999999997</v>
      </c>
      <c r="G123" s="54">
        <v>19.058330000000002</v>
      </c>
      <c r="H123" s="53" t="s">
        <v>385</v>
      </c>
      <c r="I123" s="55" t="s">
        <v>386</v>
      </c>
    </row>
    <row r="124" spans="1:9" x14ac:dyDescent="0.3">
      <c r="A124" s="52" t="s">
        <v>371</v>
      </c>
      <c r="B124" s="53" t="s">
        <v>372</v>
      </c>
      <c r="C124" s="52" t="s">
        <v>208</v>
      </c>
      <c r="D124" s="52" t="s">
        <v>174</v>
      </c>
      <c r="E124" s="52" t="s">
        <v>220</v>
      </c>
      <c r="F124" s="54">
        <v>50.453890000000001</v>
      </c>
      <c r="G124" s="54">
        <v>19.081389999999999</v>
      </c>
      <c r="H124" s="53" t="s">
        <v>387</v>
      </c>
      <c r="I124" s="55" t="s">
        <v>388</v>
      </c>
    </row>
    <row r="125" spans="1:9" x14ac:dyDescent="0.3">
      <c r="A125" s="52" t="s">
        <v>389</v>
      </c>
      <c r="B125" s="53" t="s">
        <v>390</v>
      </c>
      <c r="C125" s="52" t="s">
        <v>100</v>
      </c>
      <c r="D125" s="52" t="s">
        <v>101</v>
      </c>
      <c r="E125" s="52" t="s">
        <v>124</v>
      </c>
      <c r="F125" s="54">
        <v>49.966389999999997</v>
      </c>
      <c r="G125" s="54">
        <v>18.95806</v>
      </c>
      <c r="H125" s="53" t="s">
        <v>391</v>
      </c>
      <c r="I125" s="55" t="s">
        <v>392</v>
      </c>
    </row>
    <row r="126" spans="1:9" x14ac:dyDescent="0.3">
      <c r="A126" s="52" t="s">
        <v>389</v>
      </c>
      <c r="B126" s="53" t="s">
        <v>390</v>
      </c>
      <c r="C126" s="52" t="s">
        <v>100</v>
      </c>
      <c r="D126" s="52" t="s">
        <v>101</v>
      </c>
      <c r="E126" s="52" t="s">
        <v>393</v>
      </c>
      <c r="F126" s="54">
        <v>49.873330000000003</v>
      </c>
      <c r="G126" s="54">
        <v>19.029440000000001</v>
      </c>
      <c r="H126" s="53" t="s">
        <v>394</v>
      </c>
      <c r="I126" s="55" t="s">
        <v>395</v>
      </c>
    </row>
    <row r="127" spans="1:9" x14ac:dyDescent="0.3">
      <c r="A127" s="52" t="s">
        <v>389</v>
      </c>
      <c r="B127" s="53" t="s">
        <v>390</v>
      </c>
      <c r="C127" s="52" t="s">
        <v>100</v>
      </c>
      <c r="D127" s="52" t="s">
        <v>101</v>
      </c>
      <c r="E127" s="52" t="s">
        <v>396</v>
      </c>
      <c r="F127" s="54">
        <v>49.914720000000003</v>
      </c>
      <c r="G127" s="54">
        <v>19.15222</v>
      </c>
      <c r="H127" s="53" t="s">
        <v>397</v>
      </c>
      <c r="I127" s="55" t="s">
        <v>398</v>
      </c>
    </row>
    <row r="128" spans="1:9" x14ac:dyDescent="0.3">
      <c r="A128" s="52" t="s">
        <v>399</v>
      </c>
      <c r="B128" s="53" t="s">
        <v>400</v>
      </c>
      <c r="C128" s="52" t="s">
        <v>208</v>
      </c>
      <c r="D128" s="52" t="s">
        <v>174</v>
      </c>
      <c r="E128" s="52" t="s">
        <v>108</v>
      </c>
      <c r="F128" s="54">
        <v>51.290280000000003</v>
      </c>
      <c r="G128" s="54">
        <v>22.703060000000001</v>
      </c>
      <c r="H128" s="53" t="s">
        <v>401</v>
      </c>
      <c r="I128" s="55" t="s">
        <v>402</v>
      </c>
    </row>
    <row r="129" spans="1:9" x14ac:dyDescent="0.3">
      <c r="A129" s="52" t="s">
        <v>399</v>
      </c>
      <c r="B129" s="53" t="s">
        <v>400</v>
      </c>
      <c r="C129" s="52" t="s">
        <v>208</v>
      </c>
      <c r="D129" s="52" t="s">
        <v>174</v>
      </c>
      <c r="E129" s="52" t="s">
        <v>121</v>
      </c>
      <c r="F129" s="54">
        <v>51.160559999999997</v>
      </c>
      <c r="G129" s="54">
        <v>22.94528</v>
      </c>
      <c r="H129" s="53" t="s">
        <v>403</v>
      </c>
      <c r="I129" s="55" t="s">
        <v>404</v>
      </c>
    </row>
    <row r="130" spans="1:9" x14ac:dyDescent="0.3">
      <c r="A130" s="52" t="s">
        <v>399</v>
      </c>
      <c r="B130" s="53" t="s">
        <v>400</v>
      </c>
      <c r="C130" s="52" t="s">
        <v>208</v>
      </c>
      <c r="D130" s="52" t="s">
        <v>174</v>
      </c>
      <c r="E130" s="52" t="s">
        <v>124</v>
      </c>
      <c r="F130" s="54">
        <v>51.200560000000003</v>
      </c>
      <c r="G130" s="54">
        <v>22.675560000000001</v>
      </c>
      <c r="H130" s="53" t="s">
        <v>405</v>
      </c>
      <c r="I130" s="55" t="s">
        <v>406</v>
      </c>
    </row>
    <row r="131" spans="1:9" x14ac:dyDescent="0.3">
      <c r="A131" s="52" t="s">
        <v>399</v>
      </c>
      <c r="B131" s="53" t="s">
        <v>400</v>
      </c>
      <c r="C131" s="52" t="s">
        <v>208</v>
      </c>
      <c r="D131" s="52" t="s">
        <v>174</v>
      </c>
      <c r="E131" s="52" t="s">
        <v>127</v>
      </c>
      <c r="F131" s="54">
        <v>51.378889999999998</v>
      </c>
      <c r="G131" s="54">
        <v>22.96472</v>
      </c>
      <c r="H131" s="53" t="s">
        <v>407</v>
      </c>
      <c r="I131" s="55" t="s">
        <v>408</v>
      </c>
    </row>
    <row r="132" spans="1:9" x14ac:dyDescent="0.3">
      <c r="A132" s="52" t="s">
        <v>399</v>
      </c>
      <c r="B132" s="53" t="s">
        <v>400</v>
      </c>
      <c r="C132" s="52" t="s">
        <v>208</v>
      </c>
      <c r="D132" s="52" t="s">
        <v>174</v>
      </c>
      <c r="E132" s="52" t="s">
        <v>243</v>
      </c>
      <c r="F132" s="54">
        <v>51.088610000000003</v>
      </c>
      <c r="G132" s="54">
        <v>22.69</v>
      </c>
      <c r="H132" s="53" t="s">
        <v>409</v>
      </c>
      <c r="I132" s="55" t="s">
        <v>410</v>
      </c>
    </row>
    <row r="133" spans="1:9" x14ac:dyDescent="0.3">
      <c r="A133" s="52" t="s">
        <v>399</v>
      </c>
      <c r="B133" s="53" t="s">
        <v>400</v>
      </c>
      <c r="C133" s="52" t="s">
        <v>208</v>
      </c>
      <c r="D133" s="52" t="s">
        <v>174</v>
      </c>
      <c r="E133" s="52" t="s">
        <v>211</v>
      </c>
      <c r="F133" s="54">
        <v>51.302219999999998</v>
      </c>
      <c r="G133" s="54">
        <v>22.586939999999998</v>
      </c>
      <c r="H133" s="53" t="s">
        <v>411</v>
      </c>
      <c r="I133" s="55" t="s">
        <v>412</v>
      </c>
    </row>
    <row r="134" spans="1:9" x14ac:dyDescent="0.3">
      <c r="A134" s="52" t="s">
        <v>399</v>
      </c>
      <c r="B134" s="53" t="s">
        <v>400</v>
      </c>
      <c r="C134" s="52" t="s">
        <v>208</v>
      </c>
      <c r="D134" s="52" t="s">
        <v>174</v>
      </c>
      <c r="E134" s="52" t="s">
        <v>139</v>
      </c>
      <c r="F134" s="54">
        <v>51.22</v>
      </c>
      <c r="G134" s="54">
        <v>22.759440000000001</v>
      </c>
      <c r="H134" s="53" t="s">
        <v>413</v>
      </c>
      <c r="I134" s="55" t="s">
        <v>414</v>
      </c>
    </row>
    <row r="135" spans="1:9" x14ac:dyDescent="0.3">
      <c r="A135" s="52" t="s">
        <v>399</v>
      </c>
      <c r="B135" s="53" t="s">
        <v>400</v>
      </c>
      <c r="C135" s="52" t="s">
        <v>208</v>
      </c>
      <c r="D135" s="52" t="s">
        <v>174</v>
      </c>
      <c r="E135" s="52" t="s">
        <v>163</v>
      </c>
      <c r="F135" s="54">
        <v>51.275829999999999</v>
      </c>
      <c r="G135" s="54">
        <v>22.6525</v>
      </c>
      <c r="H135" s="53" t="s">
        <v>415</v>
      </c>
      <c r="I135" s="55" t="s">
        <v>416</v>
      </c>
    </row>
    <row r="136" spans="1:9" x14ac:dyDescent="0.3">
      <c r="A136" s="52" t="s">
        <v>399</v>
      </c>
      <c r="B136" s="53" t="s">
        <v>400</v>
      </c>
      <c r="C136" s="52" t="s">
        <v>208</v>
      </c>
      <c r="D136" s="52" t="s">
        <v>174</v>
      </c>
      <c r="E136" s="52" t="s">
        <v>220</v>
      </c>
      <c r="F136" s="54">
        <v>51.10472</v>
      </c>
      <c r="G136" s="54">
        <v>22.49222</v>
      </c>
      <c r="H136" s="53" t="s">
        <v>417</v>
      </c>
      <c r="I136" s="55" t="s">
        <v>418</v>
      </c>
    </row>
    <row r="137" spans="1:9" x14ac:dyDescent="0.3">
      <c r="A137" s="52" t="s">
        <v>399</v>
      </c>
      <c r="B137" s="53" t="s">
        <v>400</v>
      </c>
      <c r="C137" s="52" t="s">
        <v>208</v>
      </c>
      <c r="D137" s="52" t="s">
        <v>174</v>
      </c>
      <c r="E137" s="52" t="s">
        <v>419</v>
      </c>
      <c r="F137" s="54">
        <v>51.334440000000001</v>
      </c>
      <c r="G137" s="54">
        <v>22.77722</v>
      </c>
      <c r="H137" s="53" t="s">
        <v>420</v>
      </c>
      <c r="I137" s="55" t="s">
        <v>421</v>
      </c>
    </row>
    <row r="138" spans="1:9" x14ac:dyDescent="0.3">
      <c r="A138" s="52" t="s">
        <v>422</v>
      </c>
      <c r="B138" s="53" t="s">
        <v>423</v>
      </c>
      <c r="C138" s="52" t="s">
        <v>208</v>
      </c>
      <c r="D138" s="52" t="s">
        <v>174</v>
      </c>
      <c r="E138" s="52" t="s">
        <v>108</v>
      </c>
      <c r="F138" s="54">
        <v>51.731940000000002</v>
      </c>
      <c r="G138" s="54">
        <v>18.953610000000001</v>
      </c>
      <c r="H138" s="53" t="s">
        <v>424</v>
      </c>
      <c r="I138" s="55" t="s">
        <v>425</v>
      </c>
    </row>
    <row r="139" spans="1:9" x14ac:dyDescent="0.3">
      <c r="A139" s="52" t="s">
        <v>422</v>
      </c>
      <c r="B139" s="53" t="s">
        <v>423</v>
      </c>
      <c r="C139" s="52" t="s">
        <v>208</v>
      </c>
      <c r="D139" s="52" t="s">
        <v>174</v>
      </c>
      <c r="E139" s="52" t="s">
        <v>121</v>
      </c>
      <c r="F139" s="54">
        <v>51.8</v>
      </c>
      <c r="G139" s="54">
        <v>19.636109999999999</v>
      </c>
      <c r="H139" s="53" t="s">
        <v>426</v>
      </c>
      <c r="I139" s="55" t="s">
        <v>427</v>
      </c>
    </row>
    <row r="140" spans="1:9" x14ac:dyDescent="0.3">
      <c r="A140" s="52" t="s">
        <v>422</v>
      </c>
      <c r="B140" s="53" t="s">
        <v>423</v>
      </c>
      <c r="C140" s="52" t="s">
        <v>208</v>
      </c>
      <c r="D140" s="52" t="s">
        <v>174</v>
      </c>
      <c r="E140" s="52" t="s">
        <v>127</v>
      </c>
      <c r="F140" s="54">
        <v>51.690559999999998</v>
      </c>
      <c r="G140" s="54">
        <v>19.133890000000001</v>
      </c>
      <c r="H140" s="53" t="s">
        <v>428</v>
      </c>
      <c r="I140" s="55" t="s">
        <v>429</v>
      </c>
    </row>
    <row r="141" spans="1:9" x14ac:dyDescent="0.3">
      <c r="A141" s="52" t="s">
        <v>422</v>
      </c>
      <c r="B141" s="53" t="s">
        <v>423</v>
      </c>
      <c r="C141" s="52" t="s">
        <v>208</v>
      </c>
      <c r="D141" s="52" t="s">
        <v>174</v>
      </c>
      <c r="E141" s="52" t="s">
        <v>243</v>
      </c>
      <c r="F141" s="54">
        <v>51.637779999999999</v>
      </c>
      <c r="G141" s="54">
        <v>19.27139</v>
      </c>
      <c r="H141" s="53" t="s">
        <v>430</v>
      </c>
      <c r="I141" s="55" t="s">
        <v>431</v>
      </c>
    </row>
    <row r="142" spans="1:9" x14ac:dyDescent="0.3">
      <c r="A142" s="52" t="s">
        <v>422</v>
      </c>
      <c r="B142" s="53" t="s">
        <v>423</v>
      </c>
      <c r="C142" s="52" t="s">
        <v>208</v>
      </c>
      <c r="D142" s="52" t="s">
        <v>174</v>
      </c>
      <c r="E142" s="52" t="s">
        <v>133</v>
      </c>
      <c r="F142" s="54">
        <v>51.728610000000003</v>
      </c>
      <c r="G142" s="54">
        <v>19.810559999999999</v>
      </c>
      <c r="H142" s="53" t="s">
        <v>432</v>
      </c>
      <c r="I142" s="55" t="s">
        <v>433</v>
      </c>
    </row>
    <row r="143" spans="1:9" x14ac:dyDescent="0.3">
      <c r="A143" s="52" t="s">
        <v>422</v>
      </c>
      <c r="B143" s="53" t="s">
        <v>423</v>
      </c>
      <c r="C143" s="52" t="s">
        <v>208</v>
      </c>
      <c r="D143" s="52" t="s">
        <v>174</v>
      </c>
      <c r="E143" s="52" t="s">
        <v>160</v>
      </c>
      <c r="F143" s="54">
        <v>51.809440000000002</v>
      </c>
      <c r="G143" s="54">
        <v>19.286110000000001</v>
      </c>
      <c r="H143" s="53" t="s">
        <v>434</v>
      </c>
      <c r="I143" s="55" t="s">
        <v>435</v>
      </c>
    </row>
    <row r="144" spans="1:9" x14ac:dyDescent="0.3">
      <c r="A144" s="52" t="s">
        <v>422</v>
      </c>
      <c r="B144" s="53" t="s">
        <v>423</v>
      </c>
      <c r="C144" s="52" t="s">
        <v>208</v>
      </c>
      <c r="D144" s="52" t="s">
        <v>174</v>
      </c>
      <c r="E144" s="52" t="s">
        <v>168</v>
      </c>
      <c r="F144" s="54">
        <v>51.638890000000004</v>
      </c>
      <c r="G144" s="54">
        <v>19.498609999999999</v>
      </c>
      <c r="H144" s="53" t="s">
        <v>436</v>
      </c>
      <c r="I144" s="55" t="s">
        <v>437</v>
      </c>
    </row>
    <row r="145" spans="1:9" x14ac:dyDescent="0.3">
      <c r="A145" s="52" t="s">
        <v>422</v>
      </c>
      <c r="B145" s="53" t="s">
        <v>423</v>
      </c>
      <c r="C145" s="52" t="s">
        <v>208</v>
      </c>
      <c r="D145" s="52" t="s">
        <v>174</v>
      </c>
      <c r="E145" s="52" t="s">
        <v>189</v>
      </c>
      <c r="F145" s="54">
        <v>51.690280000000001</v>
      </c>
      <c r="G145" s="54">
        <v>19.44333</v>
      </c>
      <c r="H145" s="53" t="s">
        <v>438</v>
      </c>
      <c r="I145" s="55" t="s">
        <v>439</v>
      </c>
    </row>
    <row r="146" spans="1:9" x14ac:dyDescent="0.3">
      <c r="A146" s="52" t="s">
        <v>422</v>
      </c>
      <c r="B146" s="53" t="s">
        <v>423</v>
      </c>
      <c r="C146" s="52" t="s">
        <v>208</v>
      </c>
      <c r="D146" s="52" t="s">
        <v>174</v>
      </c>
      <c r="E146" s="52" t="s">
        <v>195</v>
      </c>
      <c r="F146" s="54">
        <v>51.744439999999997</v>
      </c>
      <c r="G146" s="54">
        <v>19.12</v>
      </c>
      <c r="H146" s="53" t="s">
        <v>440</v>
      </c>
      <c r="I146" s="55" t="s">
        <v>441</v>
      </c>
    </row>
    <row r="147" spans="1:9" x14ac:dyDescent="0.3">
      <c r="A147" s="52" t="s">
        <v>422</v>
      </c>
      <c r="B147" s="53" t="s">
        <v>423</v>
      </c>
      <c r="C147" s="52" t="s">
        <v>208</v>
      </c>
      <c r="D147" s="52" t="s">
        <v>174</v>
      </c>
      <c r="E147" s="52" t="s">
        <v>220</v>
      </c>
      <c r="F147" s="54">
        <v>51.891669999999998</v>
      </c>
      <c r="G147" s="54">
        <v>19.635000000000002</v>
      </c>
      <c r="H147" s="53" t="s">
        <v>442</v>
      </c>
      <c r="I147" s="55" t="s">
        <v>443</v>
      </c>
    </row>
    <row r="148" spans="1:9" x14ac:dyDescent="0.3">
      <c r="A148" s="52" t="s">
        <v>422</v>
      </c>
      <c r="B148" s="53" t="s">
        <v>423</v>
      </c>
      <c r="C148" s="52" t="s">
        <v>208</v>
      </c>
      <c r="D148" s="52" t="s">
        <v>174</v>
      </c>
      <c r="E148" s="52" t="s">
        <v>419</v>
      </c>
      <c r="F148" s="54">
        <v>51.748609999999999</v>
      </c>
      <c r="G148" s="54">
        <v>19.350000000000001</v>
      </c>
      <c r="H148" s="53" t="s">
        <v>444</v>
      </c>
      <c r="I148" s="55" t="s">
        <v>445</v>
      </c>
    </row>
    <row r="149" spans="1:9" x14ac:dyDescent="0.3">
      <c r="A149" s="52" t="s">
        <v>446</v>
      </c>
      <c r="B149" s="53" t="s">
        <v>447</v>
      </c>
      <c r="C149" s="52" t="s">
        <v>100</v>
      </c>
      <c r="D149" s="52" t="s">
        <v>101</v>
      </c>
      <c r="E149" s="52" t="s">
        <v>121</v>
      </c>
      <c r="F149" s="54">
        <v>51.807499999999997</v>
      </c>
      <c r="G149" s="54">
        <v>16.649719999999999</v>
      </c>
      <c r="H149" s="53" t="s">
        <v>448</v>
      </c>
      <c r="I149" s="55" t="s">
        <v>449</v>
      </c>
    </row>
    <row r="150" spans="1:9" x14ac:dyDescent="0.3">
      <c r="A150" s="52" t="s">
        <v>446</v>
      </c>
      <c r="B150" s="53" t="s">
        <v>447</v>
      </c>
      <c r="C150" s="52" t="s">
        <v>100</v>
      </c>
      <c r="D150" s="52" t="s">
        <v>101</v>
      </c>
      <c r="E150" s="52" t="s">
        <v>142</v>
      </c>
      <c r="F150" s="54">
        <v>51.918059999999997</v>
      </c>
      <c r="G150" s="54">
        <v>16.57028</v>
      </c>
      <c r="H150" s="53" t="s">
        <v>450</v>
      </c>
      <c r="I150" s="55" t="s">
        <v>451</v>
      </c>
    </row>
    <row r="151" spans="1:9" x14ac:dyDescent="0.3">
      <c r="A151" s="52" t="s">
        <v>446</v>
      </c>
      <c r="B151" s="53" t="s">
        <v>447</v>
      </c>
      <c r="C151" s="52" t="s">
        <v>100</v>
      </c>
      <c r="D151" s="52" t="s">
        <v>101</v>
      </c>
      <c r="E151" s="52" t="s">
        <v>189</v>
      </c>
      <c r="F151" s="54">
        <v>51.746670000000002</v>
      </c>
      <c r="G151" s="54">
        <v>16.524439999999998</v>
      </c>
      <c r="H151" s="53" t="s">
        <v>452</v>
      </c>
      <c r="I151" s="55" t="s">
        <v>453</v>
      </c>
    </row>
    <row r="152" spans="1:9" x14ac:dyDescent="0.3">
      <c r="A152" s="52" t="s">
        <v>446</v>
      </c>
      <c r="B152" s="53" t="s">
        <v>447</v>
      </c>
      <c r="C152" s="52" t="s">
        <v>100</v>
      </c>
      <c r="D152" s="52" t="s">
        <v>101</v>
      </c>
      <c r="E152" s="52" t="s">
        <v>195</v>
      </c>
      <c r="F152" s="54">
        <v>51.856670000000001</v>
      </c>
      <c r="G152" s="54">
        <v>16.39639</v>
      </c>
      <c r="H152" s="53" t="s">
        <v>454</v>
      </c>
      <c r="I152" s="55" t="s">
        <v>455</v>
      </c>
    </row>
    <row r="153" spans="1:9" x14ac:dyDescent="0.3">
      <c r="A153" s="52" t="s">
        <v>456</v>
      </c>
      <c r="B153" s="53" t="s">
        <v>457</v>
      </c>
      <c r="C153" s="52" t="s">
        <v>113</v>
      </c>
      <c r="D153" s="52" t="s">
        <v>101</v>
      </c>
      <c r="E153" s="52" t="s">
        <v>102</v>
      </c>
      <c r="F153" s="54">
        <v>50.276110000000003</v>
      </c>
      <c r="G153" s="54">
        <v>21.605560000000001</v>
      </c>
      <c r="H153" s="53" t="s">
        <v>102</v>
      </c>
      <c r="I153" s="55" t="s">
        <v>458</v>
      </c>
    </row>
    <row r="154" spans="1:9" x14ac:dyDescent="0.3">
      <c r="A154" s="52" t="s">
        <v>456</v>
      </c>
      <c r="B154" s="53" t="s">
        <v>457</v>
      </c>
      <c r="C154" s="52" t="s">
        <v>113</v>
      </c>
      <c r="D154" s="52" t="s">
        <v>101</v>
      </c>
      <c r="E154" s="52" t="s">
        <v>118</v>
      </c>
      <c r="F154" s="54">
        <v>50.176670000000001</v>
      </c>
      <c r="G154" s="54">
        <v>20.995830000000002</v>
      </c>
      <c r="H154" s="53" t="s">
        <v>118</v>
      </c>
      <c r="I154" s="55" t="s">
        <v>459</v>
      </c>
    </row>
    <row r="155" spans="1:9" x14ac:dyDescent="0.3">
      <c r="A155" s="52" t="s">
        <v>456</v>
      </c>
      <c r="B155" s="53" t="s">
        <v>457</v>
      </c>
      <c r="C155" s="52" t="s">
        <v>113</v>
      </c>
      <c r="D155" s="52" t="s">
        <v>101</v>
      </c>
      <c r="E155" s="52" t="s">
        <v>130</v>
      </c>
      <c r="F155" s="54">
        <v>50.382779999999997</v>
      </c>
      <c r="G155" s="54">
        <v>21.45889</v>
      </c>
      <c r="H155" s="53" t="s">
        <v>130</v>
      </c>
      <c r="I155" s="55" t="s">
        <v>460</v>
      </c>
    </row>
    <row r="156" spans="1:9" x14ac:dyDescent="0.3">
      <c r="A156" s="52" t="s">
        <v>456</v>
      </c>
      <c r="B156" s="53" t="s">
        <v>457</v>
      </c>
      <c r="C156" s="52" t="s">
        <v>113</v>
      </c>
      <c r="D156" s="52" t="s">
        <v>101</v>
      </c>
      <c r="E156" s="52" t="s">
        <v>163</v>
      </c>
      <c r="F156" s="54">
        <v>50.434719999999999</v>
      </c>
      <c r="G156" s="54">
        <v>21.06</v>
      </c>
      <c r="H156" s="53" t="s">
        <v>163</v>
      </c>
      <c r="I156" s="55" t="s">
        <v>461</v>
      </c>
    </row>
    <row r="157" spans="1:9" x14ac:dyDescent="0.3">
      <c r="A157" s="52" t="s">
        <v>456</v>
      </c>
      <c r="B157" s="53" t="s">
        <v>457</v>
      </c>
      <c r="C157" s="52" t="s">
        <v>113</v>
      </c>
      <c r="D157" s="52" t="s">
        <v>101</v>
      </c>
      <c r="E157" s="52" t="s">
        <v>145</v>
      </c>
      <c r="F157" s="54">
        <v>50.427500000000002</v>
      </c>
      <c r="G157" s="54">
        <v>21.330559999999998</v>
      </c>
      <c r="H157" s="53" t="s">
        <v>145</v>
      </c>
      <c r="I157" s="55" t="s">
        <v>462</v>
      </c>
    </row>
    <row r="158" spans="1:9" x14ac:dyDescent="0.3">
      <c r="A158" s="52" t="s">
        <v>456</v>
      </c>
      <c r="B158" s="53" t="s">
        <v>457</v>
      </c>
      <c r="C158" s="52" t="s">
        <v>113</v>
      </c>
      <c r="D158" s="52" t="s">
        <v>101</v>
      </c>
      <c r="E158" s="52" t="s">
        <v>168</v>
      </c>
      <c r="F158" s="54">
        <v>50.195830000000001</v>
      </c>
      <c r="G158" s="54">
        <v>21.27694</v>
      </c>
      <c r="H158" s="53" t="s">
        <v>168</v>
      </c>
      <c r="I158" s="55" t="s">
        <v>463</v>
      </c>
    </row>
    <row r="159" spans="1:9" x14ac:dyDescent="0.3">
      <c r="A159" s="52" t="s">
        <v>456</v>
      </c>
      <c r="B159" s="53" t="s">
        <v>457</v>
      </c>
      <c r="C159" s="52" t="s">
        <v>113</v>
      </c>
      <c r="D159" s="52" t="s">
        <v>101</v>
      </c>
      <c r="E159" s="52" t="s">
        <v>189</v>
      </c>
      <c r="F159" s="54">
        <v>50.263330000000003</v>
      </c>
      <c r="G159" s="54">
        <v>21.45917</v>
      </c>
      <c r="H159" s="53" t="s">
        <v>189</v>
      </c>
      <c r="I159" s="55" t="s">
        <v>464</v>
      </c>
    </row>
    <row r="160" spans="1:9" x14ac:dyDescent="0.3">
      <c r="A160" s="52" t="s">
        <v>465</v>
      </c>
      <c r="B160" s="53" t="s">
        <v>466</v>
      </c>
      <c r="C160" s="52" t="s">
        <v>208</v>
      </c>
      <c r="D160" s="52" t="s">
        <v>174</v>
      </c>
      <c r="E160" s="52" t="s">
        <v>243</v>
      </c>
      <c r="F160" s="54">
        <v>52.549169999999997</v>
      </c>
      <c r="G160" s="54">
        <v>20.501110000000001</v>
      </c>
      <c r="H160" s="53" t="s">
        <v>467</v>
      </c>
      <c r="I160" s="55" t="s">
        <v>468</v>
      </c>
    </row>
    <row r="161" spans="1:9" x14ac:dyDescent="0.3">
      <c r="A161" s="52" t="s">
        <v>465</v>
      </c>
      <c r="B161" s="53" t="s">
        <v>466</v>
      </c>
      <c r="C161" s="52" t="s">
        <v>208</v>
      </c>
      <c r="D161" s="52" t="s">
        <v>174</v>
      </c>
      <c r="E161" s="52" t="s">
        <v>211</v>
      </c>
      <c r="F161" s="54">
        <v>52.474440000000001</v>
      </c>
      <c r="G161" s="54">
        <v>20.648610000000001</v>
      </c>
      <c r="H161" s="53" t="s">
        <v>469</v>
      </c>
      <c r="I161" s="55" t="s">
        <v>470</v>
      </c>
    </row>
    <row r="162" spans="1:9" x14ac:dyDescent="0.3">
      <c r="A162" s="52" t="s">
        <v>465</v>
      </c>
      <c r="B162" s="53" t="s">
        <v>466</v>
      </c>
      <c r="C162" s="52" t="s">
        <v>208</v>
      </c>
      <c r="D162" s="52" t="s">
        <v>174</v>
      </c>
      <c r="E162" s="52" t="s">
        <v>130</v>
      </c>
      <c r="F162" s="54">
        <v>52.377780000000001</v>
      </c>
      <c r="G162" s="54">
        <v>20.91667</v>
      </c>
      <c r="H162" s="53" t="s">
        <v>131</v>
      </c>
      <c r="I162" s="55" t="s">
        <v>471</v>
      </c>
    </row>
    <row r="163" spans="1:9" x14ac:dyDescent="0.3">
      <c r="A163" s="52" t="s">
        <v>465</v>
      </c>
      <c r="B163" s="53" t="s">
        <v>466</v>
      </c>
      <c r="C163" s="52" t="s">
        <v>208</v>
      </c>
      <c r="D163" s="52" t="s">
        <v>174</v>
      </c>
      <c r="E163" s="52" t="s">
        <v>393</v>
      </c>
      <c r="F163" s="54">
        <v>52.377780000000001</v>
      </c>
      <c r="G163" s="54">
        <v>20.18694</v>
      </c>
      <c r="H163" s="53" t="s">
        <v>472</v>
      </c>
      <c r="I163" s="55" t="s">
        <v>473</v>
      </c>
    </row>
    <row r="164" spans="1:9" x14ac:dyDescent="0.3">
      <c r="A164" s="52" t="s">
        <v>465</v>
      </c>
      <c r="B164" s="53" t="s">
        <v>466</v>
      </c>
      <c r="C164" s="52" t="s">
        <v>208</v>
      </c>
      <c r="D164" s="52" t="s">
        <v>174</v>
      </c>
      <c r="E164" s="52" t="s">
        <v>189</v>
      </c>
      <c r="F164" s="54">
        <v>52.605829999999997</v>
      </c>
      <c r="G164" s="54">
        <v>20.399439999999998</v>
      </c>
      <c r="H164" s="53" t="s">
        <v>474</v>
      </c>
      <c r="I164" s="55" t="s">
        <v>475</v>
      </c>
    </row>
    <row r="165" spans="1:9" x14ac:dyDescent="0.3">
      <c r="A165" s="52" t="s">
        <v>465</v>
      </c>
      <c r="B165" s="53" t="s">
        <v>466</v>
      </c>
      <c r="C165" s="52" t="s">
        <v>208</v>
      </c>
      <c r="D165" s="52" t="s">
        <v>174</v>
      </c>
      <c r="E165" s="52" t="s">
        <v>192</v>
      </c>
      <c r="F165" s="54">
        <v>52.429169999999999</v>
      </c>
      <c r="G165" s="54">
        <v>20.654170000000001</v>
      </c>
      <c r="H165" s="53" t="s">
        <v>476</v>
      </c>
      <c r="I165" s="55" t="s">
        <v>477</v>
      </c>
    </row>
    <row r="166" spans="1:9" x14ac:dyDescent="0.3">
      <c r="A166" s="52" t="s">
        <v>465</v>
      </c>
      <c r="B166" s="53" t="s">
        <v>466</v>
      </c>
      <c r="C166" s="52" t="s">
        <v>208</v>
      </c>
      <c r="D166" s="52" t="s">
        <v>174</v>
      </c>
      <c r="E166" s="52" t="s">
        <v>396</v>
      </c>
      <c r="F166" s="54">
        <v>52.39472</v>
      </c>
      <c r="G166" s="54">
        <v>20.540559999999999</v>
      </c>
      <c r="H166" s="53" t="s">
        <v>478</v>
      </c>
      <c r="I166" s="55" t="s">
        <v>479</v>
      </c>
    </row>
    <row r="167" spans="1:9" x14ac:dyDescent="0.3">
      <c r="A167" s="52" t="s">
        <v>465</v>
      </c>
      <c r="B167" s="53" t="s">
        <v>466</v>
      </c>
      <c r="C167" s="52" t="s">
        <v>208</v>
      </c>
      <c r="D167" s="52" t="s">
        <v>174</v>
      </c>
      <c r="E167" s="52" t="s">
        <v>419</v>
      </c>
      <c r="F167" s="54">
        <v>52.58</v>
      </c>
      <c r="G167" s="54">
        <v>20.773610000000001</v>
      </c>
      <c r="H167" s="53" t="s">
        <v>480</v>
      </c>
      <c r="I167" s="55" t="s">
        <v>481</v>
      </c>
    </row>
    <row r="168" spans="1:9" x14ac:dyDescent="0.3">
      <c r="A168" s="52" t="s">
        <v>482</v>
      </c>
      <c r="B168" s="53" t="s">
        <v>483</v>
      </c>
      <c r="C168" s="52" t="s">
        <v>100</v>
      </c>
      <c r="D168" s="52" t="s">
        <v>101</v>
      </c>
      <c r="E168" s="52" t="s">
        <v>102</v>
      </c>
      <c r="F168" s="54">
        <v>50.894440000000003</v>
      </c>
      <c r="G168" s="54">
        <v>16.772780000000001</v>
      </c>
      <c r="H168" s="53" t="s">
        <v>484</v>
      </c>
      <c r="I168" s="55" t="s">
        <v>485</v>
      </c>
    </row>
    <row r="169" spans="1:9" x14ac:dyDescent="0.3">
      <c r="A169" s="52" t="s">
        <v>482</v>
      </c>
      <c r="B169" s="53" t="s">
        <v>483</v>
      </c>
      <c r="C169" s="52" t="s">
        <v>100</v>
      </c>
      <c r="D169" s="52" t="s">
        <v>101</v>
      </c>
      <c r="E169" s="52" t="s">
        <v>121</v>
      </c>
      <c r="F169" s="54">
        <v>50.929720000000003</v>
      </c>
      <c r="G169" s="54">
        <v>16.90306</v>
      </c>
      <c r="H169" s="53" t="s">
        <v>486</v>
      </c>
      <c r="I169" s="55" t="s">
        <v>487</v>
      </c>
    </row>
    <row r="170" spans="1:9" x14ac:dyDescent="0.3">
      <c r="A170" s="52" t="s">
        <v>482</v>
      </c>
      <c r="B170" s="53" t="s">
        <v>483</v>
      </c>
      <c r="C170" s="52" t="s">
        <v>100</v>
      </c>
      <c r="D170" s="52" t="s">
        <v>101</v>
      </c>
      <c r="E170" s="52" t="s">
        <v>139</v>
      </c>
      <c r="F170" s="54">
        <v>50.977780000000003</v>
      </c>
      <c r="G170" s="54">
        <v>16.79083</v>
      </c>
      <c r="H170" s="53" t="s">
        <v>488</v>
      </c>
      <c r="I170" s="55" t="s">
        <v>489</v>
      </c>
    </row>
    <row r="171" spans="1:9" x14ac:dyDescent="0.3">
      <c r="A171" s="52" t="s">
        <v>482</v>
      </c>
      <c r="B171" s="53" t="s">
        <v>483</v>
      </c>
      <c r="C171" s="52" t="s">
        <v>100</v>
      </c>
      <c r="D171" s="52" t="s">
        <v>101</v>
      </c>
      <c r="E171" s="52" t="s">
        <v>195</v>
      </c>
      <c r="F171" s="54">
        <v>50.954999999999998</v>
      </c>
      <c r="G171" s="54">
        <v>16.61694</v>
      </c>
      <c r="H171" s="53" t="s">
        <v>490</v>
      </c>
      <c r="I171" s="55" t="s">
        <v>491</v>
      </c>
    </row>
    <row r="172" spans="1:9" x14ac:dyDescent="0.3">
      <c r="A172" s="52" t="s">
        <v>492</v>
      </c>
      <c r="B172" s="53" t="s">
        <v>493</v>
      </c>
      <c r="C172" s="52" t="s">
        <v>100</v>
      </c>
      <c r="D172" s="52" t="s">
        <v>101</v>
      </c>
      <c r="E172" s="52" t="s">
        <v>102</v>
      </c>
      <c r="F172" s="54">
        <v>52.643059999999998</v>
      </c>
      <c r="G172" s="54">
        <v>20.941669999999998</v>
      </c>
      <c r="H172" s="53" t="s">
        <v>494</v>
      </c>
      <c r="I172" s="55" t="s">
        <v>495</v>
      </c>
    </row>
    <row r="173" spans="1:9" x14ac:dyDescent="0.3">
      <c r="A173" s="52" t="s">
        <v>492</v>
      </c>
      <c r="B173" s="53" t="s">
        <v>493</v>
      </c>
      <c r="C173" s="52" t="s">
        <v>100</v>
      </c>
      <c r="D173" s="52" t="s">
        <v>101</v>
      </c>
      <c r="E173" s="52" t="s">
        <v>105</v>
      </c>
      <c r="F173" s="54">
        <v>52.533059999999999</v>
      </c>
      <c r="G173" s="54">
        <v>21.081389999999999</v>
      </c>
      <c r="H173" s="53" t="s">
        <v>496</v>
      </c>
      <c r="I173" s="55" t="s">
        <v>497</v>
      </c>
    </row>
    <row r="174" spans="1:9" x14ac:dyDescent="0.3">
      <c r="A174" s="52" t="s">
        <v>492</v>
      </c>
      <c r="B174" s="53" t="s">
        <v>493</v>
      </c>
      <c r="C174" s="52" t="s">
        <v>100</v>
      </c>
      <c r="D174" s="52" t="s">
        <v>101</v>
      </c>
      <c r="E174" s="52" t="s">
        <v>108</v>
      </c>
      <c r="F174" s="54">
        <v>52.488610000000001</v>
      </c>
      <c r="G174" s="54">
        <v>20.92361</v>
      </c>
      <c r="H174" s="53" t="s">
        <v>498</v>
      </c>
      <c r="I174" s="55" t="s">
        <v>499</v>
      </c>
    </row>
    <row r="175" spans="1:9" x14ac:dyDescent="0.3">
      <c r="A175" s="52" t="s">
        <v>492</v>
      </c>
      <c r="B175" s="53" t="s">
        <v>493</v>
      </c>
      <c r="C175" s="52" t="s">
        <v>100</v>
      </c>
      <c r="D175" s="52" t="s">
        <v>101</v>
      </c>
      <c r="E175" s="52" t="s">
        <v>419</v>
      </c>
      <c r="F175" s="54">
        <v>52.58</v>
      </c>
      <c r="G175" s="54">
        <v>20.773610000000001</v>
      </c>
      <c r="H175" s="53" t="s">
        <v>500</v>
      </c>
      <c r="I175" s="55" t="s">
        <v>501</v>
      </c>
    </row>
    <row r="176" spans="1:9" x14ac:dyDescent="0.3">
      <c r="A176" s="52" t="s">
        <v>502</v>
      </c>
      <c r="B176" s="53" t="s">
        <v>503</v>
      </c>
      <c r="C176" s="52" t="s">
        <v>100</v>
      </c>
      <c r="D176" s="52" t="s">
        <v>101</v>
      </c>
      <c r="E176" s="52" t="s">
        <v>102</v>
      </c>
      <c r="F176" s="54">
        <v>49.467219999999998</v>
      </c>
      <c r="G176" s="54">
        <v>20.22306</v>
      </c>
      <c r="H176" s="53" t="s">
        <v>504</v>
      </c>
      <c r="I176" s="55" t="s">
        <v>505</v>
      </c>
    </row>
    <row r="177" spans="1:9" x14ac:dyDescent="0.3">
      <c r="A177" s="52" t="s">
        <v>502</v>
      </c>
      <c r="B177" s="53" t="s">
        <v>503</v>
      </c>
      <c r="C177" s="52" t="s">
        <v>100</v>
      </c>
      <c r="D177" s="52" t="s">
        <v>101</v>
      </c>
      <c r="E177" s="52" t="s">
        <v>105</v>
      </c>
      <c r="F177" s="54">
        <v>49.378059999999998</v>
      </c>
      <c r="G177" s="54">
        <v>20.010560000000002</v>
      </c>
      <c r="H177" s="53" t="s">
        <v>506</v>
      </c>
      <c r="I177" s="55" t="s">
        <v>507</v>
      </c>
    </row>
    <row r="178" spans="1:9" x14ac:dyDescent="0.3">
      <c r="A178" s="52" t="s">
        <v>502</v>
      </c>
      <c r="B178" s="53" t="s">
        <v>503</v>
      </c>
      <c r="C178" s="52" t="s">
        <v>100</v>
      </c>
      <c r="D178" s="52" t="s">
        <v>101</v>
      </c>
      <c r="E178" s="52" t="s">
        <v>108</v>
      </c>
      <c r="F178" s="54">
        <v>49.474170000000001</v>
      </c>
      <c r="G178" s="54">
        <v>19.9575</v>
      </c>
      <c r="H178" s="53" t="s">
        <v>508</v>
      </c>
      <c r="I178" s="55" t="s">
        <v>509</v>
      </c>
    </row>
    <row r="179" spans="1:9" x14ac:dyDescent="0.3">
      <c r="A179" s="52" t="s">
        <v>502</v>
      </c>
      <c r="B179" s="53" t="s">
        <v>503</v>
      </c>
      <c r="C179" s="52" t="s">
        <v>100</v>
      </c>
      <c r="D179" s="52" t="s">
        <v>101</v>
      </c>
      <c r="E179" s="52" t="s">
        <v>118</v>
      </c>
      <c r="F179" s="54">
        <v>49.516669999999998</v>
      </c>
      <c r="G179" s="54">
        <v>19.98667</v>
      </c>
      <c r="H179" s="53" t="s">
        <v>510</v>
      </c>
      <c r="I179" s="55" t="s">
        <v>511</v>
      </c>
    </row>
    <row r="180" spans="1:9" x14ac:dyDescent="0.3">
      <c r="A180" s="52" t="s">
        <v>512</v>
      </c>
      <c r="B180" s="53" t="s">
        <v>513</v>
      </c>
      <c r="C180" s="52" t="s">
        <v>100</v>
      </c>
      <c r="D180" s="52" t="s">
        <v>101</v>
      </c>
      <c r="E180" s="52" t="s">
        <v>142</v>
      </c>
      <c r="F180" s="54">
        <v>53.835000000000001</v>
      </c>
      <c r="G180" s="54">
        <v>20.475000000000001</v>
      </c>
      <c r="H180" s="53" t="s">
        <v>514</v>
      </c>
      <c r="I180" s="55" t="s">
        <v>515</v>
      </c>
    </row>
    <row r="181" spans="1:9" x14ac:dyDescent="0.3">
      <c r="A181" s="52" t="s">
        <v>512</v>
      </c>
      <c r="B181" s="53" t="s">
        <v>513</v>
      </c>
      <c r="C181" s="52" t="s">
        <v>100</v>
      </c>
      <c r="D181" s="52" t="s">
        <v>101</v>
      </c>
      <c r="E181" s="52" t="s">
        <v>189</v>
      </c>
      <c r="F181" s="54">
        <v>53.695830000000001</v>
      </c>
      <c r="G181" s="54">
        <v>20.412780000000001</v>
      </c>
      <c r="H181" s="53" t="s">
        <v>516</v>
      </c>
      <c r="I181" s="55" t="s">
        <v>517</v>
      </c>
    </row>
    <row r="182" spans="1:9" x14ac:dyDescent="0.3">
      <c r="A182" s="52" t="s">
        <v>512</v>
      </c>
      <c r="B182" s="53" t="s">
        <v>513</v>
      </c>
      <c r="C182" s="52" t="s">
        <v>100</v>
      </c>
      <c r="D182" s="52" t="s">
        <v>101</v>
      </c>
      <c r="E182" s="52" t="s">
        <v>195</v>
      </c>
      <c r="F182" s="54">
        <v>53.747219999999999</v>
      </c>
      <c r="G182" s="54">
        <v>20.272500000000001</v>
      </c>
      <c r="H182" s="53" t="s">
        <v>518</v>
      </c>
      <c r="I182" s="55" t="s">
        <v>519</v>
      </c>
    </row>
    <row r="183" spans="1:9" x14ac:dyDescent="0.3">
      <c r="A183" s="52" t="s">
        <v>520</v>
      </c>
      <c r="B183" s="53" t="s">
        <v>521</v>
      </c>
      <c r="C183" s="52" t="s">
        <v>100</v>
      </c>
      <c r="D183" s="52" t="s">
        <v>101</v>
      </c>
      <c r="E183" s="52" t="s">
        <v>121</v>
      </c>
      <c r="F183" s="54">
        <v>51.703609999999998</v>
      </c>
      <c r="G183" s="54">
        <v>17.947500000000002</v>
      </c>
      <c r="H183" s="53" t="s">
        <v>522</v>
      </c>
      <c r="I183" s="55" t="s">
        <v>523</v>
      </c>
    </row>
    <row r="184" spans="1:9" x14ac:dyDescent="0.3">
      <c r="A184" s="52" t="s">
        <v>520</v>
      </c>
      <c r="B184" s="53" t="s">
        <v>521</v>
      </c>
      <c r="C184" s="52" t="s">
        <v>100</v>
      </c>
      <c r="D184" s="52" t="s">
        <v>101</v>
      </c>
      <c r="E184" s="52" t="s">
        <v>142</v>
      </c>
      <c r="F184" s="54">
        <v>51.779440000000001</v>
      </c>
      <c r="G184" s="54">
        <v>17.856940000000002</v>
      </c>
      <c r="H184" s="53" t="s">
        <v>524</v>
      </c>
      <c r="I184" s="55" t="s">
        <v>525</v>
      </c>
    </row>
    <row r="185" spans="1:9" x14ac:dyDescent="0.3">
      <c r="A185" s="52" t="s">
        <v>520</v>
      </c>
      <c r="B185" s="53" t="s">
        <v>521</v>
      </c>
      <c r="C185" s="52" t="s">
        <v>100</v>
      </c>
      <c r="D185" s="52" t="s">
        <v>101</v>
      </c>
      <c r="E185" s="52" t="s">
        <v>189</v>
      </c>
      <c r="F185" s="54">
        <v>51.67306</v>
      </c>
      <c r="G185" s="54">
        <v>17.7925</v>
      </c>
      <c r="H185" s="53" t="s">
        <v>526</v>
      </c>
      <c r="I185" s="55" t="s">
        <v>527</v>
      </c>
    </row>
    <row r="186" spans="1:9" x14ac:dyDescent="0.3">
      <c r="A186" s="52" t="s">
        <v>528</v>
      </c>
      <c r="B186" s="53" t="s">
        <v>529</v>
      </c>
      <c r="C186" s="52" t="s">
        <v>100</v>
      </c>
      <c r="D186" s="52" t="s">
        <v>101</v>
      </c>
      <c r="E186" s="52" t="s">
        <v>102</v>
      </c>
      <c r="F186" s="54">
        <v>50.669719999999998</v>
      </c>
      <c r="G186" s="54">
        <v>17.818059999999999</v>
      </c>
      <c r="H186" s="53" t="s">
        <v>530</v>
      </c>
      <c r="I186" s="55" t="s">
        <v>531</v>
      </c>
    </row>
    <row r="187" spans="1:9" x14ac:dyDescent="0.3">
      <c r="A187" s="52" t="s">
        <v>528</v>
      </c>
      <c r="B187" s="53" t="s">
        <v>529</v>
      </c>
      <c r="C187" s="52" t="s">
        <v>100</v>
      </c>
      <c r="D187" s="52" t="s">
        <v>101</v>
      </c>
      <c r="E187" s="52" t="s">
        <v>105</v>
      </c>
      <c r="F187" s="54">
        <v>50.581940000000003</v>
      </c>
      <c r="G187" s="54">
        <v>17.829719999999998</v>
      </c>
      <c r="H187" s="53" t="s">
        <v>532</v>
      </c>
      <c r="I187" s="55" t="s">
        <v>533</v>
      </c>
    </row>
    <row r="188" spans="1:9" x14ac:dyDescent="0.3">
      <c r="A188" s="52" t="s">
        <v>528</v>
      </c>
      <c r="B188" s="53" t="s">
        <v>529</v>
      </c>
      <c r="C188" s="52" t="s">
        <v>100</v>
      </c>
      <c r="D188" s="52" t="s">
        <v>101</v>
      </c>
      <c r="E188" s="52" t="s">
        <v>108</v>
      </c>
      <c r="F188" s="54">
        <v>50.662779999999998</v>
      </c>
      <c r="G188" s="54">
        <v>17.698609999999999</v>
      </c>
      <c r="H188" s="53" t="s">
        <v>534</v>
      </c>
      <c r="I188" s="55" t="s">
        <v>535</v>
      </c>
    </row>
    <row r="189" spans="1:9" x14ac:dyDescent="0.3">
      <c r="A189" s="52" t="s">
        <v>528</v>
      </c>
      <c r="B189" s="53" t="s">
        <v>529</v>
      </c>
      <c r="C189" s="52" t="s">
        <v>100</v>
      </c>
      <c r="D189" s="52" t="s">
        <v>101</v>
      </c>
      <c r="E189" s="52" t="s">
        <v>243</v>
      </c>
      <c r="F189" s="54">
        <v>50.70111</v>
      </c>
      <c r="G189" s="54">
        <v>17.897780000000001</v>
      </c>
      <c r="H189" s="53" t="s">
        <v>536</v>
      </c>
      <c r="I189" s="55" t="s">
        <v>537</v>
      </c>
    </row>
    <row r="190" spans="1:9" x14ac:dyDescent="0.3">
      <c r="A190" s="52" t="s">
        <v>528</v>
      </c>
      <c r="B190" s="53" t="s">
        <v>529</v>
      </c>
      <c r="C190" s="52" t="s">
        <v>100</v>
      </c>
      <c r="D190" s="52" t="s">
        <v>101</v>
      </c>
      <c r="E190" s="52" t="s">
        <v>211</v>
      </c>
      <c r="F190" s="54">
        <v>50.529719999999998</v>
      </c>
      <c r="G190" s="54">
        <v>17.91722</v>
      </c>
      <c r="H190" s="53" t="s">
        <v>538</v>
      </c>
      <c r="I190" s="55" t="s">
        <v>539</v>
      </c>
    </row>
    <row r="191" spans="1:9" x14ac:dyDescent="0.3">
      <c r="A191" s="52" t="s">
        <v>528</v>
      </c>
      <c r="B191" s="53" t="s">
        <v>529</v>
      </c>
      <c r="C191" s="52" t="s">
        <v>100</v>
      </c>
      <c r="D191" s="52" t="s">
        <v>101</v>
      </c>
      <c r="E191" s="52" t="s">
        <v>133</v>
      </c>
      <c r="F191" s="54">
        <v>50.691940000000002</v>
      </c>
      <c r="G191" s="54">
        <v>17.639720000000001</v>
      </c>
      <c r="H191" s="53" t="s">
        <v>540</v>
      </c>
      <c r="I191" s="55" t="s">
        <v>541</v>
      </c>
    </row>
    <row r="192" spans="1:9" x14ac:dyDescent="0.3">
      <c r="A192" s="52" t="s">
        <v>542</v>
      </c>
      <c r="B192" s="53" t="s">
        <v>543</v>
      </c>
      <c r="C192" s="52" t="s">
        <v>100</v>
      </c>
      <c r="D192" s="52" t="s">
        <v>101</v>
      </c>
      <c r="E192" s="52" t="s">
        <v>102</v>
      </c>
      <c r="F192" s="54">
        <v>52.57611</v>
      </c>
      <c r="G192" s="54">
        <v>17.009440000000001</v>
      </c>
      <c r="H192" s="53" t="s">
        <v>544</v>
      </c>
      <c r="I192" s="55" t="s">
        <v>545</v>
      </c>
    </row>
    <row r="193" spans="1:9" x14ac:dyDescent="0.3">
      <c r="A193" s="52" t="s">
        <v>542</v>
      </c>
      <c r="B193" s="53" t="s">
        <v>543</v>
      </c>
      <c r="C193" s="52" t="s">
        <v>100</v>
      </c>
      <c r="D193" s="52" t="s">
        <v>101</v>
      </c>
      <c r="E193" s="52" t="s">
        <v>105</v>
      </c>
      <c r="F193" s="54">
        <v>52.521389999999997</v>
      </c>
      <c r="G193" s="54">
        <v>17.136109999999999</v>
      </c>
      <c r="H193" s="53" t="s">
        <v>546</v>
      </c>
      <c r="I193" s="55" t="s">
        <v>547</v>
      </c>
    </row>
    <row r="194" spans="1:9" x14ac:dyDescent="0.3">
      <c r="A194" s="52" t="s">
        <v>542</v>
      </c>
      <c r="B194" s="53" t="s">
        <v>543</v>
      </c>
      <c r="C194" s="52" t="s">
        <v>100</v>
      </c>
      <c r="D194" s="52" t="s">
        <v>101</v>
      </c>
      <c r="E194" s="52" t="s">
        <v>160</v>
      </c>
      <c r="F194" s="54">
        <v>52.6325</v>
      </c>
      <c r="G194" s="54">
        <v>17.428609999999999</v>
      </c>
      <c r="H194" s="53" t="s">
        <v>548</v>
      </c>
      <c r="I194" s="55" t="s">
        <v>549</v>
      </c>
    </row>
    <row r="195" spans="1:9" x14ac:dyDescent="0.3">
      <c r="A195" s="52" t="s">
        <v>542</v>
      </c>
      <c r="B195" s="53" t="s">
        <v>543</v>
      </c>
      <c r="C195" s="52" t="s">
        <v>100</v>
      </c>
      <c r="D195" s="52" t="s">
        <v>101</v>
      </c>
      <c r="E195" s="52" t="s">
        <v>163</v>
      </c>
      <c r="F195" s="54">
        <v>52.67389</v>
      </c>
      <c r="G195" s="54">
        <v>17.15278</v>
      </c>
      <c r="H195" s="53" t="s">
        <v>550</v>
      </c>
      <c r="I195" s="55" t="s">
        <v>551</v>
      </c>
    </row>
    <row r="196" spans="1:9" x14ac:dyDescent="0.3">
      <c r="A196" s="52" t="s">
        <v>542</v>
      </c>
      <c r="B196" s="53" t="s">
        <v>543</v>
      </c>
      <c r="C196" s="52" t="s">
        <v>100</v>
      </c>
      <c r="D196" s="52" t="s">
        <v>101</v>
      </c>
      <c r="E196" s="52" t="s">
        <v>145</v>
      </c>
      <c r="F196" s="54">
        <v>52.479170000000003</v>
      </c>
      <c r="G196" s="54">
        <v>17.27722</v>
      </c>
      <c r="H196" s="53" t="s">
        <v>552</v>
      </c>
      <c r="I196" s="55" t="s">
        <v>553</v>
      </c>
    </row>
    <row r="197" spans="1:9" x14ac:dyDescent="0.3">
      <c r="A197" s="52" t="s">
        <v>554</v>
      </c>
      <c r="B197" s="53" t="s">
        <v>555</v>
      </c>
      <c r="C197" s="52" t="s">
        <v>100</v>
      </c>
      <c r="D197" s="52" t="s">
        <v>101</v>
      </c>
      <c r="E197" s="52" t="s">
        <v>102</v>
      </c>
      <c r="F197" s="54">
        <v>52.57611</v>
      </c>
      <c r="G197" s="54">
        <v>17.009440000000001</v>
      </c>
      <c r="H197" s="53" t="s">
        <v>544</v>
      </c>
      <c r="I197" s="55" t="s">
        <v>556</v>
      </c>
    </row>
    <row r="198" spans="1:9" x14ac:dyDescent="0.3">
      <c r="A198" s="52" t="s">
        <v>554</v>
      </c>
      <c r="B198" s="53" t="s">
        <v>555</v>
      </c>
      <c r="C198" s="52" t="s">
        <v>100</v>
      </c>
      <c r="D198" s="52" t="s">
        <v>101</v>
      </c>
      <c r="E198" s="52" t="s">
        <v>105</v>
      </c>
      <c r="F198" s="54">
        <v>52.521389999999997</v>
      </c>
      <c r="G198" s="54">
        <v>17.136109999999999</v>
      </c>
      <c r="H198" s="53" t="s">
        <v>557</v>
      </c>
      <c r="I198" s="55" t="s">
        <v>558</v>
      </c>
    </row>
    <row r="199" spans="1:9" x14ac:dyDescent="0.3">
      <c r="A199" s="52" t="s">
        <v>554</v>
      </c>
      <c r="B199" s="53" t="s">
        <v>555</v>
      </c>
      <c r="C199" s="52" t="s">
        <v>100</v>
      </c>
      <c r="D199" s="52" t="s">
        <v>101</v>
      </c>
      <c r="E199" s="52" t="s">
        <v>145</v>
      </c>
      <c r="F199" s="54">
        <v>52.479170000000003</v>
      </c>
      <c r="G199" s="54">
        <v>17.27722</v>
      </c>
      <c r="H199" s="53" t="s">
        <v>552</v>
      </c>
      <c r="I199" s="55" t="s">
        <v>559</v>
      </c>
    </row>
    <row r="200" spans="1:9" x14ac:dyDescent="0.3">
      <c r="A200" s="52" t="s">
        <v>554</v>
      </c>
      <c r="B200" s="53" t="s">
        <v>555</v>
      </c>
      <c r="C200" s="52" t="s">
        <v>100</v>
      </c>
      <c r="D200" s="52" t="s">
        <v>101</v>
      </c>
      <c r="E200" s="52" t="s">
        <v>189</v>
      </c>
      <c r="F200" s="54">
        <v>52.393329999999999</v>
      </c>
      <c r="G200" s="54">
        <v>17.224440000000001</v>
      </c>
      <c r="H200" s="53" t="s">
        <v>560</v>
      </c>
      <c r="I200" s="55" t="s">
        <v>561</v>
      </c>
    </row>
    <row r="201" spans="1:9" x14ac:dyDescent="0.3">
      <c r="A201" s="52" t="s">
        <v>554</v>
      </c>
      <c r="B201" s="53" t="s">
        <v>555</v>
      </c>
      <c r="C201" s="52" t="s">
        <v>100</v>
      </c>
      <c r="D201" s="52" t="s">
        <v>101</v>
      </c>
      <c r="E201" s="52" t="s">
        <v>148</v>
      </c>
      <c r="F201" s="54">
        <v>52.453060000000001</v>
      </c>
      <c r="G201" s="54">
        <v>16.98</v>
      </c>
      <c r="H201" s="53" t="s">
        <v>562</v>
      </c>
      <c r="I201" s="55" t="s">
        <v>563</v>
      </c>
    </row>
    <row r="202" spans="1:9" x14ac:dyDescent="0.3">
      <c r="A202" s="52" t="s">
        <v>564</v>
      </c>
      <c r="B202" s="53" t="s">
        <v>565</v>
      </c>
      <c r="C202" s="52" t="s">
        <v>100</v>
      </c>
      <c r="D202" s="52" t="s">
        <v>101</v>
      </c>
      <c r="E202" s="52" t="s">
        <v>121</v>
      </c>
      <c r="F202" s="54">
        <v>52.505830000000003</v>
      </c>
      <c r="G202" s="54">
        <v>19.836670000000002</v>
      </c>
      <c r="H202" s="53" t="s">
        <v>566</v>
      </c>
      <c r="I202" s="55" t="s">
        <v>567</v>
      </c>
    </row>
    <row r="203" spans="1:9" x14ac:dyDescent="0.3">
      <c r="A203" s="52" t="s">
        <v>564</v>
      </c>
      <c r="B203" s="53" t="s">
        <v>565</v>
      </c>
      <c r="C203" s="52" t="s">
        <v>100</v>
      </c>
      <c r="D203" s="52" t="s">
        <v>101</v>
      </c>
      <c r="E203" s="52" t="s">
        <v>142</v>
      </c>
      <c r="F203" s="54">
        <v>52.606389999999998</v>
      </c>
      <c r="G203" s="54">
        <v>19.796109999999999</v>
      </c>
      <c r="H203" s="53" t="s">
        <v>568</v>
      </c>
      <c r="I203" s="55" t="s">
        <v>569</v>
      </c>
    </row>
    <row r="204" spans="1:9" x14ac:dyDescent="0.3">
      <c r="A204" s="52" t="s">
        <v>564</v>
      </c>
      <c r="B204" s="53" t="s">
        <v>565</v>
      </c>
      <c r="C204" s="52" t="s">
        <v>100</v>
      </c>
      <c r="D204" s="52" t="s">
        <v>101</v>
      </c>
      <c r="E204" s="52" t="s">
        <v>195</v>
      </c>
      <c r="F204" s="54">
        <v>52.570830000000001</v>
      </c>
      <c r="G204" s="54">
        <v>19.61167</v>
      </c>
      <c r="H204" s="53" t="s">
        <v>570</v>
      </c>
      <c r="I204" s="55" t="s">
        <v>571</v>
      </c>
    </row>
    <row r="205" spans="1:9" x14ac:dyDescent="0.3">
      <c r="A205" s="52" t="s">
        <v>572</v>
      </c>
      <c r="B205" s="53" t="s">
        <v>573</v>
      </c>
      <c r="C205" s="52" t="s">
        <v>208</v>
      </c>
      <c r="D205" s="52" t="s">
        <v>174</v>
      </c>
      <c r="E205" s="52" t="s">
        <v>118</v>
      </c>
      <c r="F205" s="54">
        <v>52.503329999999998</v>
      </c>
      <c r="G205" s="54">
        <v>16.768059999999998</v>
      </c>
      <c r="H205" s="53" t="s">
        <v>574</v>
      </c>
      <c r="I205" s="55" t="s">
        <v>575</v>
      </c>
    </row>
    <row r="206" spans="1:9" x14ac:dyDescent="0.3">
      <c r="A206" s="52" t="s">
        <v>572</v>
      </c>
      <c r="B206" s="53" t="s">
        <v>573</v>
      </c>
      <c r="C206" s="52" t="s">
        <v>208</v>
      </c>
      <c r="D206" s="52" t="s">
        <v>174</v>
      </c>
      <c r="E206" s="52" t="s">
        <v>124</v>
      </c>
      <c r="F206" s="54">
        <v>52.397500000000001</v>
      </c>
      <c r="G206" s="54">
        <v>16.858059999999998</v>
      </c>
      <c r="H206" s="53" t="s">
        <v>576</v>
      </c>
      <c r="I206" s="55" t="s">
        <v>577</v>
      </c>
    </row>
    <row r="207" spans="1:9" x14ac:dyDescent="0.3">
      <c r="A207" s="52" t="s">
        <v>572</v>
      </c>
      <c r="B207" s="53" t="s">
        <v>573</v>
      </c>
      <c r="C207" s="52" t="s">
        <v>208</v>
      </c>
      <c r="D207" s="52" t="s">
        <v>174</v>
      </c>
      <c r="E207" s="52" t="s">
        <v>127</v>
      </c>
      <c r="F207" s="54">
        <v>52.432220000000001</v>
      </c>
      <c r="G207" s="54">
        <v>16.84667</v>
      </c>
      <c r="H207" s="53" t="s">
        <v>578</v>
      </c>
      <c r="I207" s="55" t="s">
        <v>579</v>
      </c>
    </row>
    <row r="208" spans="1:9" x14ac:dyDescent="0.3">
      <c r="A208" s="52" t="s">
        <v>572</v>
      </c>
      <c r="B208" s="53" t="s">
        <v>573</v>
      </c>
      <c r="C208" s="52" t="s">
        <v>208</v>
      </c>
      <c r="D208" s="52" t="s">
        <v>174</v>
      </c>
      <c r="E208" s="52" t="s">
        <v>243</v>
      </c>
      <c r="F208" s="54">
        <v>52.441670000000002</v>
      </c>
      <c r="G208" s="54">
        <v>16.797219999999999</v>
      </c>
      <c r="H208" s="53" t="s">
        <v>580</v>
      </c>
      <c r="I208" s="55" t="s">
        <v>581</v>
      </c>
    </row>
    <row r="209" spans="1:9" x14ac:dyDescent="0.3">
      <c r="A209" s="52" t="s">
        <v>572</v>
      </c>
      <c r="B209" s="53" t="s">
        <v>573</v>
      </c>
      <c r="C209" s="52" t="s">
        <v>208</v>
      </c>
      <c r="D209" s="52" t="s">
        <v>174</v>
      </c>
      <c r="E209" s="52" t="s">
        <v>211</v>
      </c>
      <c r="F209" s="54">
        <v>52.411389999999997</v>
      </c>
      <c r="G209" s="54">
        <v>16.793610000000001</v>
      </c>
      <c r="H209" s="53" t="s">
        <v>582</v>
      </c>
      <c r="I209" s="55" t="s">
        <v>583</v>
      </c>
    </row>
    <row r="210" spans="1:9" x14ac:dyDescent="0.3">
      <c r="A210" s="52" t="s">
        <v>572</v>
      </c>
      <c r="B210" s="53" t="s">
        <v>573</v>
      </c>
      <c r="C210" s="52" t="s">
        <v>208</v>
      </c>
      <c r="D210" s="52" t="s">
        <v>174</v>
      </c>
      <c r="E210" s="52" t="s">
        <v>130</v>
      </c>
      <c r="F210" s="54">
        <v>52.407780000000002</v>
      </c>
      <c r="G210" s="54">
        <v>16.725829999999998</v>
      </c>
      <c r="H210" s="53" t="s">
        <v>584</v>
      </c>
      <c r="I210" s="55" t="s">
        <v>585</v>
      </c>
    </row>
    <row r="211" spans="1:9" x14ac:dyDescent="0.3">
      <c r="A211" s="52" t="s">
        <v>572</v>
      </c>
      <c r="B211" s="53" t="s">
        <v>573</v>
      </c>
      <c r="C211" s="52" t="s">
        <v>208</v>
      </c>
      <c r="D211" s="52" t="s">
        <v>174</v>
      </c>
      <c r="E211" s="52" t="s">
        <v>393</v>
      </c>
      <c r="F211" s="54">
        <v>52.511389999999999</v>
      </c>
      <c r="G211" s="54">
        <v>16.974720000000001</v>
      </c>
      <c r="H211" s="53" t="s">
        <v>586</v>
      </c>
      <c r="I211" s="55" t="s">
        <v>587</v>
      </c>
    </row>
    <row r="212" spans="1:9" x14ac:dyDescent="0.3">
      <c r="A212" s="52" t="s">
        <v>572</v>
      </c>
      <c r="B212" s="53" t="s">
        <v>573</v>
      </c>
      <c r="C212" s="52" t="s">
        <v>208</v>
      </c>
      <c r="D212" s="52" t="s">
        <v>174</v>
      </c>
      <c r="E212" s="52" t="s">
        <v>148</v>
      </c>
      <c r="F212" s="54">
        <v>52.453060000000001</v>
      </c>
      <c r="G212" s="54">
        <v>16.98</v>
      </c>
      <c r="H212" s="53" t="s">
        <v>588</v>
      </c>
      <c r="I212" s="55" t="s">
        <v>589</v>
      </c>
    </row>
    <row r="213" spans="1:9" x14ac:dyDescent="0.3">
      <c r="A213" s="52" t="s">
        <v>572</v>
      </c>
      <c r="B213" s="53" t="s">
        <v>573</v>
      </c>
      <c r="C213" s="52" t="s">
        <v>208</v>
      </c>
      <c r="D213" s="52" t="s">
        <v>174</v>
      </c>
      <c r="E213" s="52" t="s">
        <v>192</v>
      </c>
      <c r="F213" s="54">
        <v>52.3675</v>
      </c>
      <c r="G213" s="54">
        <v>16.860279999999999</v>
      </c>
      <c r="H213" s="53" t="s">
        <v>590</v>
      </c>
      <c r="I213" s="55" t="s">
        <v>591</v>
      </c>
    </row>
    <row r="214" spans="1:9" x14ac:dyDescent="0.3">
      <c r="A214" s="52" t="s">
        <v>572</v>
      </c>
      <c r="B214" s="53" t="s">
        <v>573</v>
      </c>
      <c r="C214" s="52" t="s">
        <v>208</v>
      </c>
      <c r="D214" s="52" t="s">
        <v>174</v>
      </c>
      <c r="E214" s="52" t="s">
        <v>396</v>
      </c>
      <c r="F214" s="54">
        <v>52.47222</v>
      </c>
      <c r="G214" s="54">
        <v>16.790559999999999</v>
      </c>
      <c r="H214" s="53" t="s">
        <v>592</v>
      </c>
      <c r="I214" s="55" t="s">
        <v>593</v>
      </c>
    </row>
    <row r="215" spans="1:9" x14ac:dyDescent="0.3">
      <c r="A215" s="52" t="s">
        <v>572</v>
      </c>
      <c r="B215" s="53" t="s">
        <v>573</v>
      </c>
      <c r="C215" s="52" t="s">
        <v>208</v>
      </c>
      <c r="D215" s="52" t="s">
        <v>174</v>
      </c>
      <c r="E215" s="52" t="s">
        <v>220</v>
      </c>
      <c r="F215" s="54">
        <v>52.395829999999997</v>
      </c>
      <c r="G215" s="54">
        <v>16.607500000000002</v>
      </c>
      <c r="H215" s="53" t="s">
        <v>594</v>
      </c>
      <c r="I215" s="55" t="s">
        <v>595</v>
      </c>
    </row>
    <row r="216" spans="1:9" x14ac:dyDescent="0.3">
      <c r="A216" s="52" t="s">
        <v>572</v>
      </c>
      <c r="B216" s="53" t="s">
        <v>573</v>
      </c>
      <c r="C216" s="52" t="s">
        <v>208</v>
      </c>
      <c r="D216" s="52" t="s">
        <v>174</v>
      </c>
      <c r="E216" s="52" t="s">
        <v>419</v>
      </c>
      <c r="F216" s="54">
        <v>52.46472</v>
      </c>
      <c r="G216" s="54">
        <v>16.88861</v>
      </c>
      <c r="H216" s="53" t="s">
        <v>596</v>
      </c>
      <c r="I216" s="55" t="s">
        <v>597</v>
      </c>
    </row>
    <row r="217" spans="1:9" x14ac:dyDescent="0.3">
      <c r="A217" s="52" t="s">
        <v>598</v>
      </c>
      <c r="B217" s="53" t="s">
        <v>599</v>
      </c>
      <c r="C217" s="52" t="s">
        <v>113</v>
      </c>
      <c r="D217" s="52" t="s">
        <v>101</v>
      </c>
      <c r="E217" s="52" t="s">
        <v>121</v>
      </c>
      <c r="F217" s="54">
        <v>51.35472</v>
      </c>
      <c r="G217" s="54">
        <v>19.81944</v>
      </c>
      <c r="H217" s="53" t="s">
        <v>600</v>
      </c>
      <c r="I217" s="55" t="s">
        <v>601</v>
      </c>
    </row>
    <row r="218" spans="1:9" x14ac:dyDescent="0.3">
      <c r="A218" s="52" t="s">
        <v>598</v>
      </c>
      <c r="B218" s="53" t="s">
        <v>599</v>
      </c>
      <c r="C218" s="52" t="s">
        <v>113</v>
      </c>
      <c r="D218" s="52" t="s">
        <v>101</v>
      </c>
      <c r="E218" s="52" t="s">
        <v>124</v>
      </c>
      <c r="F218" s="54">
        <v>51.215829999999997</v>
      </c>
      <c r="G218" s="54">
        <v>19.59694</v>
      </c>
      <c r="H218" s="53" t="s">
        <v>602</v>
      </c>
      <c r="I218" s="55" t="s">
        <v>603</v>
      </c>
    </row>
    <row r="219" spans="1:9" x14ac:dyDescent="0.3">
      <c r="A219" s="52" t="s">
        <v>598</v>
      </c>
      <c r="B219" s="53" t="s">
        <v>599</v>
      </c>
      <c r="C219" s="52" t="s">
        <v>113</v>
      </c>
      <c r="D219" s="52" t="s">
        <v>101</v>
      </c>
      <c r="E219" s="52" t="s">
        <v>142</v>
      </c>
      <c r="F219" s="54">
        <v>51.44361</v>
      </c>
      <c r="G219" s="54">
        <v>19.723330000000001</v>
      </c>
      <c r="H219" s="53" t="s">
        <v>604</v>
      </c>
      <c r="I219" s="55" t="s">
        <v>605</v>
      </c>
    </row>
    <row r="220" spans="1:9" x14ac:dyDescent="0.3">
      <c r="A220" s="52" t="s">
        <v>598</v>
      </c>
      <c r="B220" s="53" t="s">
        <v>599</v>
      </c>
      <c r="C220" s="52" t="s">
        <v>113</v>
      </c>
      <c r="D220" s="52" t="s">
        <v>101</v>
      </c>
      <c r="E220" s="52" t="s">
        <v>168</v>
      </c>
      <c r="F220" s="54">
        <v>51.190559999999998</v>
      </c>
      <c r="G220" s="54">
        <v>19.856670000000001</v>
      </c>
      <c r="H220" s="53" t="s">
        <v>606</v>
      </c>
      <c r="I220" s="55" t="s">
        <v>607</v>
      </c>
    </row>
    <row r="221" spans="1:9" x14ac:dyDescent="0.3">
      <c r="A221" s="52" t="s">
        <v>598</v>
      </c>
      <c r="B221" s="53" t="s">
        <v>599</v>
      </c>
      <c r="C221" s="52" t="s">
        <v>113</v>
      </c>
      <c r="D221" s="52" t="s">
        <v>101</v>
      </c>
      <c r="E221" s="52" t="s">
        <v>189</v>
      </c>
      <c r="F221" s="54">
        <v>51.299439999999997</v>
      </c>
      <c r="G221" s="54">
        <v>19.658609999999999</v>
      </c>
      <c r="H221" s="53" t="s">
        <v>608</v>
      </c>
      <c r="I221" s="55" t="s">
        <v>609</v>
      </c>
    </row>
    <row r="222" spans="1:9" x14ac:dyDescent="0.3">
      <c r="A222" s="52" t="s">
        <v>598</v>
      </c>
      <c r="B222" s="53" t="s">
        <v>599</v>
      </c>
      <c r="C222" s="52" t="s">
        <v>113</v>
      </c>
      <c r="D222" s="52" t="s">
        <v>101</v>
      </c>
      <c r="E222" s="52" t="s">
        <v>195</v>
      </c>
      <c r="F222" s="54">
        <v>51.41</v>
      </c>
      <c r="G222" s="54">
        <v>19.634720000000002</v>
      </c>
      <c r="H222" s="53" t="s">
        <v>610</v>
      </c>
      <c r="I222" s="55" t="s">
        <v>611</v>
      </c>
    </row>
    <row r="223" spans="1:9" x14ac:dyDescent="0.3">
      <c r="A223" s="52" t="s">
        <v>612</v>
      </c>
      <c r="B223" s="53" t="s">
        <v>613</v>
      </c>
      <c r="C223" s="52" t="s">
        <v>614</v>
      </c>
      <c r="D223" s="52" t="s">
        <v>174</v>
      </c>
      <c r="E223" s="52" t="s">
        <v>105</v>
      </c>
      <c r="F223" s="54">
        <v>51.247219999999999</v>
      </c>
      <c r="G223" s="54">
        <v>21.238890000000001</v>
      </c>
      <c r="H223" s="53" t="s">
        <v>615</v>
      </c>
      <c r="I223" s="55" t="s">
        <v>616</v>
      </c>
    </row>
    <row r="224" spans="1:9" x14ac:dyDescent="0.3">
      <c r="A224" s="52" t="s">
        <v>612</v>
      </c>
      <c r="B224" s="53" t="s">
        <v>613</v>
      </c>
      <c r="C224" s="52" t="s">
        <v>614</v>
      </c>
      <c r="D224" s="52" t="s">
        <v>174</v>
      </c>
      <c r="E224" s="52" t="s">
        <v>108</v>
      </c>
      <c r="F224" s="54">
        <v>51.243609999999997</v>
      </c>
      <c r="G224" s="54">
        <v>21.58417</v>
      </c>
      <c r="H224" s="53" t="s">
        <v>617</v>
      </c>
      <c r="I224" s="55" t="s">
        <v>618</v>
      </c>
    </row>
    <row r="225" spans="1:9" x14ac:dyDescent="0.3">
      <c r="A225" s="52" t="s">
        <v>612</v>
      </c>
      <c r="B225" s="53" t="s">
        <v>613</v>
      </c>
      <c r="C225" s="52" t="s">
        <v>614</v>
      </c>
      <c r="D225" s="52" t="s">
        <v>174</v>
      </c>
      <c r="E225" s="52" t="s">
        <v>124</v>
      </c>
      <c r="F225" s="54">
        <v>51.537500000000001</v>
      </c>
      <c r="G225" s="54">
        <v>21.398890000000002</v>
      </c>
      <c r="H225" s="53" t="s">
        <v>619</v>
      </c>
      <c r="I225" s="55" t="s">
        <v>620</v>
      </c>
    </row>
    <row r="226" spans="1:9" x14ac:dyDescent="0.3">
      <c r="A226" s="52" t="s">
        <v>612</v>
      </c>
      <c r="B226" s="53" t="s">
        <v>613</v>
      </c>
      <c r="C226" s="52" t="s">
        <v>614</v>
      </c>
      <c r="D226" s="52" t="s">
        <v>174</v>
      </c>
      <c r="E226" s="52" t="s">
        <v>243</v>
      </c>
      <c r="F226" s="54">
        <v>51.342779999999998</v>
      </c>
      <c r="G226" s="54">
        <v>21.226669999999999</v>
      </c>
      <c r="H226" s="53" t="s">
        <v>621</v>
      </c>
      <c r="I226" s="55" t="s">
        <v>622</v>
      </c>
    </row>
    <row r="227" spans="1:9" x14ac:dyDescent="0.3">
      <c r="A227" s="52" t="s">
        <v>612</v>
      </c>
      <c r="B227" s="53" t="s">
        <v>613</v>
      </c>
      <c r="C227" s="52" t="s">
        <v>614</v>
      </c>
      <c r="D227" s="52" t="s">
        <v>174</v>
      </c>
      <c r="E227" s="52" t="s">
        <v>211</v>
      </c>
      <c r="F227" s="54">
        <v>51.236109999999996</v>
      </c>
      <c r="G227" s="54">
        <v>20.873889999999999</v>
      </c>
      <c r="H227" s="53" t="s">
        <v>623</v>
      </c>
      <c r="I227" s="55" t="s">
        <v>624</v>
      </c>
    </row>
    <row r="228" spans="1:9" x14ac:dyDescent="0.3">
      <c r="A228" s="52" t="s">
        <v>612</v>
      </c>
      <c r="B228" s="53" t="s">
        <v>613</v>
      </c>
      <c r="C228" s="52" t="s">
        <v>614</v>
      </c>
      <c r="D228" s="52" t="s">
        <v>174</v>
      </c>
      <c r="E228" s="52" t="s">
        <v>130</v>
      </c>
      <c r="F228" s="54">
        <v>51.362780000000001</v>
      </c>
      <c r="G228" s="54">
        <v>20.7775</v>
      </c>
      <c r="H228" s="53" t="s">
        <v>625</v>
      </c>
      <c r="I228" s="55" t="s">
        <v>626</v>
      </c>
    </row>
    <row r="229" spans="1:9" x14ac:dyDescent="0.3">
      <c r="A229" s="52" t="s">
        <v>612</v>
      </c>
      <c r="B229" s="53" t="s">
        <v>613</v>
      </c>
      <c r="C229" s="52" t="s">
        <v>614</v>
      </c>
      <c r="D229" s="52" t="s">
        <v>174</v>
      </c>
      <c r="E229" s="52" t="s">
        <v>142</v>
      </c>
      <c r="F229" s="54">
        <v>51.443060000000003</v>
      </c>
      <c r="G229" s="54">
        <v>21.2</v>
      </c>
      <c r="H229" s="53" t="s">
        <v>627</v>
      </c>
      <c r="I229" s="55" t="s">
        <v>628</v>
      </c>
    </row>
    <row r="230" spans="1:9" x14ac:dyDescent="0.3">
      <c r="A230" s="52" t="s">
        <v>612</v>
      </c>
      <c r="B230" s="53" t="s">
        <v>613</v>
      </c>
      <c r="C230" s="52" t="s">
        <v>614</v>
      </c>
      <c r="D230" s="52" t="s">
        <v>174</v>
      </c>
      <c r="E230" s="52" t="s">
        <v>168</v>
      </c>
      <c r="F230" s="54">
        <v>51.403329999999997</v>
      </c>
      <c r="G230" s="54">
        <v>21.088889999999999</v>
      </c>
      <c r="H230" s="53" t="s">
        <v>629</v>
      </c>
      <c r="I230" s="55" t="s">
        <v>630</v>
      </c>
    </row>
    <row r="231" spans="1:9" x14ac:dyDescent="0.3">
      <c r="A231" s="52" t="s">
        <v>612</v>
      </c>
      <c r="B231" s="53" t="s">
        <v>613</v>
      </c>
      <c r="C231" s="52" t="s">
        <v>614</v>
      </c>
      <c r="D231" s="52" t="s">
        <v>174</v>
      </c>
      <c r="E231" s="52" t="s">
        <v>189</v>
      </c>
      <c r="F231" s="54">
        <v>51.295000000000002</v>
      </c>
      <c r="G231" s="54">
        <v>21.246390000000002</v>
      </c>
      <c r="H231" s="53" t="s">
        <v>631</v>
      </c>
      <c r="I231" s="55" t="s">
        <v>632</v>
      </c>
    </row>
    <row r="232" spans="1:9" x14ac:dyDescent="0.3">
      <c r="A232" s="52" t="s">
        <v>612</v>
      </c>
      <c r="B232" s="53" t="s">
        <v>613</v>
      </c>
      <c r="C232" s="52" t="s">
        <v>614</v>
      </c>
      <c r="D232" s="52" t="s">
        <v>174</v>
      </c>
      <c r="E232" s="52" t="s">
        <v>151</v>
      </c>
      <c r="F232" s="54">
        <v>51.358609999999999</v>
      </c>
      <c r="G232" s="54">
        <v>21.565560000000001</v>
      </c>
      <c r="H232" s="53" t="s">
        <v>633</v>
      </c>
      <c r="I232" s="55" t="s">
        <v>634</v>
      </c>
    </row>
    <row r="233" spans="1:9" x14ac:dyDescent="0.3">
      <c r="A233" s="52" t="s">
        <v>635</v>
      </c>
      <c r="B233" s="53" t="s">
        <v>636</v>
      </c>
      <c r="C233" s="52" t="s">
        <v>100</v>
      </c>
      <c r="D233" s="52" t="s">
        <v>101</v>
      </c>
      <c r="E233" s="52" t="s">
        <v>102</v>
      </c>
      <c r="F233" s="54">
        <v>50.087780000000002</v>
      </c>
      <c r="G233" s="54">
        <v>18.586939999999998</v>
      </c>
      <c r="H233" s="53" t="s">
        <v>637</v>
      </c>
      <c r="I233" s="55" t="s">
        <v>638</v>
      </c>
    </row>
    <row r="234" spans="1:9" x14ac:dyDescent="0.3">
      <c r="A234" s="52" t="s">
        <v>635</v>
      </c>
      <c r="B234" s="53" t="s">
        <v>636</v>
      </c>
      <c r="C234" s="52" t="s">
        <v>100</v>
      </c>
      <c r="D234" s="52" t="s">
        <v>101</v>
      </c>
      <c r="E234" s="52" t="s">
        <v>105</v>
      </c>
      <c r="F234" s="54">
        <v>50.081940000000003</v>
      </c>
      <c r="G234" s="54">
        <v>18.663329999999998</v>
      </c>
      <c r="H234" s="53" t="s">
        <v>639</v>
      </c>
      <c r="I234" s="55" t="s">
        <v>640</v>
      </c>
    </row>
    <row r="235" spans="1:9" x14ac:dyDescent="0.3">
      <c r="A235" s="52" t="s">
        <v>635</v>
      </c>
      <c r="B235" s="53" t="s">
        <v>636</v>
      </c>
      <c r="C235" s="52" t="s">
        <v>100</v>
      </c>
      <c r="D235" s="52" t="s">
        <v>101</v>
      </c>
      <c r="E235" s="52" t="s">
        <v>108</v>
      </c>
      <c r="F235" s="54">
        <v>50.052779999999998</v>
      </c>
      <c r="G235" s="54">
        <v>18.64528</v>
      </c>
      <c r="H235" s="53" t="s">
        <v>641</v>
      </c>
      <c r="I235" s="55" t="s">
        <v>642</v>
      </c>
    </row>
    <row r="236" spans="1:9" x14ac:dyDescent="0.3">
      <c r="A236" s="52" t="s">
        <v>643</v>
      </c>
      <c r="B236" s="53" t="s">
        <v>644</v>
      </c>
      <c r="C236" s="52" t="s">
        <v>100</v>
      </c>
      <c r="D236" s="52" t="s">
        <v>101</v>
      </c>
      <c r="E236" s="52" t="s">
        <v>118</v>
      </c>
      <c r="F236" s="54">
        <v>51.56917</v>
      </c>
      <c r="G236" s="54">
        <v>21.021940000000001</v>
      </c>
      <c r="H236" s="53" t="s">
        <v>645</v>
      </c>
      <c r="I236" s="55" t="s">
        <v>646</v>
      </c>
    </row>
    <row r="237" spans="1:9" x14ac:dyDescent="0.3">
      <c r="A237" s="52" t="s">
        <v>643</v>
      </c>
      <c r="B237" s="53" t="s">
        <v>644</v>
      </c>
      <c r="C237" s="52" t="s">
        <v>100</v>
      </c>
      <c r="D237" s="52" t="s">
        <v>101</v>
      </c>
      <c r="E237" s="52" t="s">
        <v>127</v>
      </c>
      <c r="F237" s="54">
        <v>51.440559999999998</v>
      </c>
      <c r="G237" s="54">
        <v>20.995560000000001</v>
      </c>
      <c r="H237" s="53" t="s">
        <v>647</v>
      </c>
      <c r="I237" s="55" t="s">
        <v>648</v>
      </c>
    </row>
    <row r="238" spans="1:9" x14ac:dyDescent="0.3">
      <c r="A238" s="52" t="s">
        <v>643</v>
      </c>
      <c r="B238" s="53" t="s">
        <v>644</v>
      </c>
      <c r="C238" s="52" t="s">
        <v>100</v>
      </c>
      <c r="D238" s="52" t="s">
        <v>101</v>
      </c>
      <c r="E238" s="52" t="s">
        <v>142</v>
      </c>
      <c r="F238" s="54">
        <v>51.443060000000003</v>
      </c>
      <c r="G238" s="54">
        <v>21.2</v>
      </c>
      <c r="H238" s="53" t="s">
        <v>649</v>
      </c>
      <c r="I238" s="55" t="s">
        <v>650</v>
      </c>
    </row>
    <row r="239" spans="1:9" x14ac:dyDescent="0.3">
      <c r="A239" s="52" t="s">
        <v>643</v>
      </c>
      <c r="B239" s="53" t="s">
        <v>644</v>
      </c>
      <c r="C239" s="52" t="s">
        <v>100</v>
      </c>
      <c r="D239" s="52" t="s">
        <v>101</v>
      </c>
      <c r="E239" s="52" t="s">
        <v>148</v>
      </c>
      <c r="F239" s="54">
        <v>51.466670000000001</v>
      </c>
      <c r="G239" s="54">
        <v>20.905560000000001</v>
      </c>
      <c r="H239" s="53" t="s">
        <v>651</v>
      </c>
      <c r="I239" s="55" t="s">
        <v>652</v>
      </c>
    </row>
    <row r="240" spans="1:9" x14ac:dyDescent="0.3">
      <c r="A240" s="52" t="s">
        <v>643</v>
      </c>
      <c r="B240" s="53" t="s">
        <v>644</v>
      </c>
      <c r="C240" s="52" t="s">
        <v>100</v>
      </c>
      <c r="D240" s="52" t="s">
        <v>101</v>
      </c>
      <c r="E240" s="52" t="s">
        <v>195</v>
      </c>
      <c r="F240" s="54">
        <v>51.51361</v>
      </c>
      <c r="G240" s="54">
        <v>21.115829999999999</v>
      </c>
      <c r="H240" s="53" t="s">
        <v>653</v>
      </c>
      <c r="I240" s="55" t="s">
        <v>654</v>
      </c>
    </row>
    <row r="241" spans="1:9" x14ac:dyDescent="0.3">
      <c r="A241" s="52" t="s">
        <v>655</v>
      </c>
      <c r="B241" s="53" t="s">
        <v>656</v>
      </c>
      <c r="C241" s="52" t="s">
        <v>100</v>
      </c>
      <c r="D241" s="52" t="s">
        <v>101</v>
      </c>
      <c r="E241" s="52" t="s">
        <v>121</v>
      </c>
      <c r="F241" s="54">
        <v>50.921669999999999</v>
      </c>
      <c r="G241" s="54">
        <v>19.356670000000001</v>
      </c>
      <c r="H241" s="53" t="s">
        <v>657</v>
      </c>
      <c r="I241" s="55" t="s">
        <v>658</v>
      </c>
    </row>
    <row r="242" spans="1:9" x14ac:dyDescent="0.3">
      <c r="A242" s="52" t="s">
        <v>655</v>
      </c>
      <c r="B242" s="53" t="s">
        <v>656</v>
      </c>
      <c r="C242" s="52" t="s">
        <v>100</v>
      </c>
      <c r="D242" s="52" t="s">
        <v>101</v>
      </c>
      <c r="E242" s="52" t="s">
        <v>142</v>
      </c>
      <c r="F242" s="54">
        <v>50.966670000000001</v>
      </c>
      <c r="G242" s="54">
        <v>19.27722</v>
      </c>
      <c r="H242" s="53" t="s">
        <v>659</v>
      </c>
      <c r="I242" s="55" t="s">
        <v>660</v>
      </c>
    </row>
    <row r="243" spans="1:9" x14ac:dyDescent="0.3">
      <c r="A243" s="52" t="s">
        <v>655</v>
      </c>
      <c r="B243" s="53" t="s">
        <v>656</v>
      </c>
      <c r="C243" s="52" t="s">
        <v>100</v>
      </c>
      <c r="D243" s="52" t="s">
        <v>101</v>
      </c>
      <c r="E243" s="52" t="s">
        <v>189</v>
      </c>
      <c r="F243" s="54">
        <v>50.828609999999998</v>
      </c>
      <c r="G243" s="54">
        <v>19.289719999999999</v>
      </c>
      <c r="H243" s="53" t="s">
        <v>661</v>
      </c>
      <c r="I243" s="55" t="s">
        <v>662</v>
      </c>
    </row>
    <row r="244" spans="1:9" x14ac:dyDescent="0.3">
      <c r="A244" s="52" t="s">
        <v>655</v>
      </c>
      <c r="B244" s="53" t="s">
        <v>656</v>
      </c>
      <c r="C244" s="52" t="s">
        <v>100</v>
      </c>
      <c r="D244" s="52" t="s">
        <v>101</v>
      </c>
      <c r="E244" s="52" t="s">
        <v>195</v>
      </c>
      <c r="F244" s="54">
        <v>50.902500000000003</v>
      </c>
      <c r="G244" s="54">
        <v>19.067499999999999</v>
      </c>
      <c r="H244" s="53" t="s">
        <v>663</v>
      </c>
      <c r="I244" s="55" t="s">
        <v>664</v>
      </c>
    </row>
    <row r="245" spans="1:9" x14ac:dyDescent="0.3">
      <c r="A245" s="52" t="s">
        <v>665</v>
      </c>
      <c r="B245" s="53" t="s">
        <v>666</v>
      </c>
      <c r="C245" s="52" t="s">
        <v>208</v>
      </c>
      <c r="D245" s="52" t="s">
        <v>174</v>
      </c>
      <c r="E245" s="52" t="s">
        <v>105</v>
      </c>
      <c r="F245" s="54">
        <v>49.983890000000002</v>
      </c>
      <c r="G245" s="54">
        <v>21.94444</v>
      </c>
      <c r="H245" s="53" t="s">
        <v>667</v>
      </c>
      <c r="I245" s="55" t="s">
        <v>668</v>
      </c>
    </row>
    <row r="246" spans="1:9" x14ac:dyDescent="0.3">
      <c r="A246" s="52" t="s">
        <v>665</v>
      </c>
      <c r="B246" s="53" t="s">
        <v>666</v>
      </c>
      <c r="C246" s="52" t="s">
        <v>208</v>
      </c>
      <c r="D246" s="52" t="s">
        <v>174</v>
      </c>
      <c r="E246" s="52" t="s">
        <v>127</v>
      </c>
      <c r="F246" s="54">
        <v>49.983890000000002</v>
      </c>
      <c r="G246" s="54">
        <v>22.401389999999999</v>
      </c>
      <c r="H246" s="53" t="s">
        <v>669</v>
      </c>
      <c r="I246" s="55" t="s">
        <v>670</v>
      </c>
    </row>
    <row r="247" spans="1:9" x14ac:dyDescent="0.3">
      <c r="A247" s="52" t="s">
        <v>665</v>
      </c>
      <c r="B247" s="53" t="s">
        <v>666</v>
      </c>
      <c r="C247" s="52" t="s">
        <v>208</v>
      </c>
      <c r="D247" s="52" t="s">
        <v>174</v>
      </c>
      <c r="E247" s="52" t="s">
        <v>243</v>
      </c>
      <c r="F247" s="54">
        <v>50.019440000000003</v>
      </c>
      <c r="G247" s="54">
        <v>22.259440000000001</v>
      </c>
      <c r="H247" s="53" t="s">
        <v>671</v>
      </c>
      <c r="I247" s="55" t="s">
        <v>672</v>
      </c>
    </row>
    <row r="248" spans="1:9" x14ac:dyDescent="0.3">
      <c r="A248" s="52" t="s">
        <v>665</v>
      </c>
      <c r="B248" s="53" t="s">
        <v>666</v>
      </c>
      <c r="C248" s="52" t="s">
        <v>208</v>
      </c>
      <c r="D248" s="52" t="s">
        <v>174</v>
      </c>
      <c r="E248" s="52" t="s">
        <v>133</v>
      </c>
      <c r="F248" s="54">
        <v>50.246110000000002</v>
      </c>
      <c r="G248" s="54">
        <v>21.786670000000001</v>
      </c>
      <c r="H248" s="53" t="s">
        <v>673</v>
      </c>
      <c r="I248" s="55" t="s">
        <v>674</v>
      </c>
    </row>
    <row r="249" spans="1:9" x14ac:dyDescent="0.3">
      <c r="A249" s="52" t="s">
        <v>665</v>
      </c>
      <c r="B249" s="53" t="s">
        <v>666</v>
      </c>
      <c r="C249" s="52" t="s">
        <v>208</v>
      </c>
      <c r="D249" s="52" t="s">
        <v>174</v>
      </c>
      <c r="E249" s="52" t="s">
        <v>139</v>
      </c>
      <c r="F249" s="54">
        <v>50.249169999999999</v>
      </c>
      <c r="G249" s="54">
        <v>22.121939999999999</v>
      </c>
      <c r="H249" s="53" t="s">
        <v>675</v>
      </c>
      <c r="I249" s="55" t="s">
        <v>676</v>
      </c>
    </row>
    <row r="250" spans="1:9" x14ac:dyDescent="0.3">
      <c r="A250" s="52" t="s">
        <v>665</v>
      </c>
      <c r="B250" s="53" t="s">
        <v>666</v>
      </c>
      <c r="C250" s="52" t="s">
        <v>208</v>
      </c>
      <c r="D250" s="52" t="s">
        <v>174</v>
      </c>
      <c r="E250" s="52" t="s">
        <v>142</v>
      </c>
      <c r="F250" s="54">
        <v>50.166670000000003</v>
      </c>
      <c r="G250" s="54">
        <v>22.033329999999999</v>
      </c>
      <c r="H250" s="53" t="s">
        <v>677</v>
      </c>
      <c r="I250" s="55" t="s">
        <v>678</v>
      </c>
    </row>
    <row r="251" spans="1:9" x14ac:dyDescent="0.3">
      <c r="A251" s="52" t="s">
        <v>665</v>
      </c>
      <c r="B251" s="53" t="s">
        <v>666</v>
      </c>
      <c r="C251" s="52" t="s">
        <v>208</v>
      </c>
      <c r="D251" s="52" t="s">
        <v>174</v>
      </c>
      <c r="E251" s="52" t="s">
        <v>393</v>
      </c>
      <c r="F251" s="54">
        <v>50.039169999999999</v>
      </c>
      <c r="G251" s="54">
        <v>22.06917</v>
      </c>
      <c r="H251" s="53" t="s">
        <v>679</v>
      </c>
      <c r="I251" s="55" t="s">
        <v>680</v>
      </c>
    </row>
    <row r="252" spans="1:9" x14ac:dyDescent="0.3">
      <c r="A252" s="52" t="s">
        <v>665</v>
      </c>
      <c r="B252" s="53" t="s">
        <v>666</v>
      </c>
      <c r="C252" s="52" t="s">
        <v>208</v>
      </c>
      <c r="D252" s="52" t="s">
        <v>174</v>
      </c>
      <c r="E252" s="52" t="s">
        <v>148</v>
      </c>
      <c r="F252" s="54">
        <v>49.97278</v>
      </c>
      <c r="G252" s="54">
        <v>22.03389</v>
      </c>
      <c r="H252" s="53" t="s">
        <v>681</v>
      </c>
      <c r="I252" s="55" t="s">
        <v>682</v>
      </c>
    </row>
    <row r="253" spans="1:9" x14ac:dyDescent="0.3">
      <c r="A253" s="52" t="s">
        <v>665</v>
      </c>
      <c r="B253" s="53" t="s">
        <v>666</v>
      </c>
      <c r="C253" s="52" t="s">
        <v>208</v>
      </c>
      <c r="D253" s="52" t="s">
        <v>174</v>
      </c>
      <c r="E253" s="52" t="s">
        <v>195</v>
      </c>
      <c r="F253" s="54">
        <v>50.064439999999998</v>
      </c>
      <c r="G253" s="54">
        <v>21.731110000000001</v>
      </c>
      <c r="H253" s="53" t="s">
        <v>683</v>
      </c>
      <c r="I253" s="55" t="s">
        <v>684</v>
      </c>
    </row>
    <row r="254" spans="1:9" x14ac:dyDescent="0.3">
      <c r="A254" s="52" t="s">
        <v>665</v>
      </c>
      <c r="B254" s="53" t="s">
        <v>666</v>
      </c>
      <c r="C254" s="52" t="s">
        <v>208</v>
      </c>
      <c r="D254" s="52" t="s">
        <v>174</v>
      </c>
      <c r="E254" s="52" t="s">
        <v>419</v>
      </c>
      <c r="F254" s="54">
        <v>50.065829999999998</v>
      </c>
      <c r="G254" s="54">
        <v>21.927219999999998</v>
      </c>
      <c r="H254" s="53" t="s">
        <v>685</v>
      </c>
      <c r="I254" s="55" t="s">
        <v>686</v>
      </c>
    </row>
    <row r="255" spans="1:9" x14ac:dyDescent="0.3">
      <c r="A255" s="52" t="s">
        <v>687</v>
      </c>
      <c r="B255" s="53" t="s">
        <v>688</v>
      </c>
      <c r="C255" s="52" t="s">
        <v>208</v>
      </c>
      <c r="D255" s="52" t="s">
        <v>174</v>
      </c>
      <c r="E255" s="52" t="s">
        <v>211</v>
      </c>
      <c r="F255" s="54">
        <v>53.540559999999999</v>
      </c>
      <c r="G255" s="54">
        <v>14.78722</v>
      </c>
      <c r="H255" s="53" t="s">
        <v>689</v>
      </c>
      <c r="I255" s="55" t="s">
        <v>690</v>
      </c>
    </row>
    <row r="256" spans="1:9" x14ac:dyDescent="0.3">
      <c r="A256" s="52" t="s">
        <v>687</v>
      </c>
      <c r="B256" s="53" t="s">
        <v>688</v>
      </c>
      <c r="C256" s="52" t="s">
        <v>208</v>
      </c>
      <c r="D256" s="52" t="s">
        <v>174</v>
      </c>
      <c r="E256" s="52" t="s">
        <v>142</v>
      </c>
      <c r="F256" s="54">
        <v>53.601669999999999</v>
      </c>
      <c r="G256" s="54">
        <v>14.964169999999999</v>
      </c>
      <c r="H256" s="53" t="s">
        <v>691</v>
      </c>
      <c r="I256" s="55" t="s">
        <v>692</v>
      </c>
    </row>
    <row r="257" spans="1:9" x14ac:dyDescent="0.3">
      <c r="A257" s="52" t="s">
        <v>687</v>
      </c>
      <c r="B257" s="53" t="s">
        <v>688</v>
      </c>
      <c r="C257" s="52" t="s">
        <v>208</v>
      </c>
      <c r="D257" s="52" t="s">
        <v>174</v>
      </c>
      <c r="E257" s="52" t="s">
        <v>168</v>
      </c>
      <c r="F257" s="54">
        <v>53.651110000000003</v>
      </c>
      <c r="G257" s="54">
        <v>15.066940000000001</v>
      </c>
      <c r="H257" s="53" t="s">
        <v>693</v>
      </c>
      <c r="I257" s="55" t="s">
        <v>694</v>
      </c>
    </row>
    <row r="258" spans="1:9" x14ac:dyDescent="0.3">
      <c r="A258" s="52" t="s">
        <v>687</v>
      </c>
      <c r="B258" s="53" t="s">
        <v>688</v>
      </c>
      <c r="C258" s="52" t="s">
        <v>208</v>
      </c>
      <c r="D258" s="52" t="s">
        <v>174</v>
      </c>
      <c r="E258" s="52" t="s">
        <v>189</v>
      </c>
      <c r="F258" s="54">
        <v>53.567779999999999</v>
      </c>
      <c r="G258" s="54">
        <v>14.84694</v>
      </c>
      <c r="H258" s="53" t="s">
        <v>695</v>
      </c>
      <c r="I258" s="55" t="s">
        <v>696</v>
      </c>
    </row>
    <row r="259" spans="1:9" x14ac:dyDescent="0.3">
      <c r="A259" s="52" t="s">
        <v>697</v>
      </c>
      <c r="B259" s="53" t="s">
        <v>698</v>
      </c>
      <c r="C259" s="52" t="s">
        <v>100</v>
      </c>
      <c r="D259" s="52" t="s">
        <v>101</v>
      </c>
      <c r="E259" s="52" t="s">
        <v>102</v>
      </c>
      <c r="F259" s="54">
        <v>53.400280000000002</v>
      </c>
      <c r="G259" s="54">
        <v>14.57694</v>
      </c>
      <c r="H259" s="53" t="s">
        <v>699</v>
      </c>
      <c r="I259" s="55" t="s">
        <v>700</v>
      </c>
    </row>
    <row r="260" spans="1:9" x14ac:dyDescent="0.3">
      <c r="A260" s="52" t="s">
        <v>697</v>
      </c>
      <c r="B260" s="53" t="s">
        <v>698</v>
      </c>
      <c r="C260" s="52" t="s">
        <v>100</v>
      </c>
      <c r="D260" s="52" t="s">
        <v>101</v>
      </c>
      <c r="E260" s="52" t="s">
        <v>105</v>
      </c>
      <c r="F260" s="54">
        <v>53.405830000000002</v>
      </c>
      <c r="G260" s="54">
        <v>14.665279999999999</v>
      </c>
      <c r="H260" s="53" t="s">
        <v>701</v>
      </c>
      <c r="I260" s="55" t="s">
        <v>702</v>
      </c>
    </row>
    <row r="261" spans="1:9" x14ac:dyDescent="0.3">
      <c r="A261" s="52" t="s">
        <v>697</v>
      </c>
      <c r="B261" s="53" t="s">
        <v>698</v>
      </c>
      <c r="C261" s="52" t="s">
        <v>100</v>
      </c>
      <c r="D261" s="52" t="s">
        <v>101</v>
      </c>
      <c r="E261" s="52" t="s">
        <v>108</v>
      </c>
      <c r="F261" s="54">
        <v>53.390279999999997</v>
      </c>
      <c r="G261" s="54">
        <v>14.69528</v>
      </c>
      <c r="H261" s="53" t="s">
        <v>703</v>
      </c>
      <c r="I261" s="55" t="s">
        <v>704</v>
      </c>
    </row>
    <row r="262" spans="1:9" x14ac:dyDescent="0.3">
      <c r="A262" s="52" t="s">
        <v>697</v>
      </c>
      <c r="B262" s="53" t="s">
        <v>698</v>
      </c>
      <c r="C262" s="52" t="s">
        <v>100</v>
      </c>
      <c r="D262" s="52" t="s">
        <v>101</v>
      </c>
      <c r="E262" s="52" t="s">
        <v>118</v>
      </c>
      <c r="F262" s="54">
        <v>53.37444</v>
      </c>
      <c r="G262" s="54">
        <v>14.59694</v>
      </c>
      <c r="H262" s="53" t="s">
        <v>705</v>
      </c>
      <c r="I262" s="55" t="s">
        <v>706</v>
      </c>
    </row>
    <row r="263" spans="1:9" x14ac:dyDescent="0.3">
      <c r="A263" s="52" t="s">
        <v>697</v>
      </c>
      <c r="B263" s="53" t="s">
        <v>698</v>
      </c>
      <c r="C263" s="52" t="s">
        <v>100</v>
      </c>
      <c r="D263" s="52" t="s">
        <v>101</v>
      </c>
      <c r="E263" s="52" t="s">
        <v>145</v>
      </c>
      <c r="F263" s="54">
        <v>53.372500000000002</v>
      </c>
      <c r="G263" s="54">
        <v>14.86361</v>
      </c>
      <c r="H263" s="53" t="s">
        <v>707</v>
      </c>
      <c r="I263" s="55" t="s">
        <v>708</v>
      </c>
    </row>
    <row r="264" spans="1:9" x14ac:dyDescent="0.3">
      <c r="A264" s="52" t="s">
        <v>709</v>
      </c>
      <c r="B264" s="53" t="s">
        <v>710</v>
      </c>
      <c r="C264" s="52" t="s">
        <v>100</v>
      </c>
      <c r="D264" s="52" t="s">
        <v>101</v>
      </c>
      <c r="E264" s="52" t="s">
        <v>118</v>
      </c>
      <c r="F264" s="54">
        <v>54.374720000000003</v>
      </c>
      <c r="G264" s="54">
        <v>17.151109999999999</v>
      </c>
      <c r="H264" s="53" t="s">
        <v>711</v>
      </c>
      <c r="I264" s="55" t="s">
        <v>712</v>
      </c>
    </row>
    <row r="265" spans="1:9" x14ac:dyDescent="0.3">
      <c r="A265" s="52" t="s">
        <v>709</v>
      </c>
      <c r="B265" s="53" t="s">
        <v>710</v>
      </c>
      <c r="C265" s="52" t="s">
        <v>100</v>
      </c>
      <c r="D265" s="52" t="s">
        <v>101</v>
      </c>
      <c r="E265" s="52" t="s">
        <v>133</v>
      </c>
      <c r="F265" s="54">
        <v>54.368609999999997</v>
      </c>
      <c r="G265" s="54">
        <v>17.023060000000001</v>
      </c>
      <c r="H265" s="53" t="s">
        <v>713</v>
      </c>
      <c r="I265" s="55" t="s">
        <v>714</v>
      </c>
    </row>
    <row r="266" spans="1:9" x14ac:dyDescent="0.3">
      <c r="A266" s="52" t="s">
        <v>709</v>
      </c>
      <c r="B266" s="53" t="s">
        <v>710</v>
      </c>
      <c r="C266" s="52" t="s">
        <v>100</v>
      </c>
      <c r="D266" s="52" t="s">
        <v>101</v>
      </c>
      <c r="E266" s="52" t="s">
        <v>160</v>
      </c>
      <c r="F266" s="54">
        <v>54.424999999999997</v>
      </c>
      <c r="G266" s="54">
        <v>17.00722</v>
      </c>
      <c r="H266" s="53" t="s">
        <v>715</v>
      </c>
      <c r="I266" s="55" t="s">
        <v>716</v>
      </c>
    </row>
    <row r="267" spans="1:9" x14ac:dyDescent="0.3">
      <c r="A267" s="52" t="s">
        <v>709</v>
      </c>
      <c r="B267" s="53" t="s">
        <v>710</v>
      </c>
      <c r="C267" s="52" t="s">
        <v>100</v>
      </c>
      <c r="D267" s="52" t="s">
        <v>101</v>
      </c>
      <c r="E267" s="52" t="s">
        <v>139</v>
      </c>
      <c r="F267" s="54">
        <v>54.456940000000003</v>
      </c>
      <c r="G267" s="54">
        <v>17.210280000000001</v>
      </c>
      <c r="H267" s="53" t="s">
        <v>717</v>
      </c>
      <c r="I267" s="55" t="s">
        <v>718</v>
      </c>
    </row>
    <row r="268" spans="1:9" x14ac:dyDescent="0.3">
      <c r="A268" s="52" t="s">
        <v>719</v>
      </c>
      <c r="B268" s="53" t="s">
        <v>720</v>
      </c>
      <c r="C268" s="52" t="s">
        <v>100</v>
      </c>
      <c r="D268" s="52" t="s">
        <v>101</v>
      </c>
      <c r="E268" s="52" t="s">
        <v>127</v>
      </c>
      <c r="F268" s="54">
        <v>50.567500000000003</v>
      </c>
      <c r="G268" s="54">
        <v>21.877500000000001</v>
      </c>
      <c r="H268" s="53" t="s">
        <v>721</v>
      </c>
      <c r="I268" s="55" t="s">
        <v>722</v>
      </c>
    </row>
    <row r="269" spans="1:9" x14ac:dyDescent="0.3">
      <c r="A269" s="52" t="s">
        <v>719</v>
      </c>
      <c r="B269" s="53" t="s">
        <v>720</v>
      </c>
      <c r="C269" s="52" t="s">
        <v>100</v>
      </c>
      <c r="D269" s="52" t="s">
        <v>101</v>
      </c>
      <c r="E269" s="52" t="s">
        <v>160</v>
      </c>
      <c r="F269" s="54">
        <v>50.698329999999999</v>
      </c>
      <c r="G269" s="54">
        <v>22.08306</v>
      </c>
      <c r="H269" s="53" t="s">
        <v>723</v>
      </c>
      <c r="I269" s="55" t="s">
        <v>724</v>
      </c>
    </row>
    <row r="270" spans="1:9" x14ac:dyDescent="0.3">
      <c r="A270" s="52" t="s">
        <v>719</v>
      </c>
      <c r="B270" s="53" t="s">
        <v>720</v>
      </c>
      <c r="C270" s="52" t="s">
        <v>100</v>
      </c>
      <c r="D270" s="52" t="s">
        <v>101</v>
      </c>
      <c r="E270" s="52" t="s">
        <v>139</v>
      </c>
      <c r="F270" s="54">
        <v>50.665559999999999</v>
      </c>
      <c r="G270" s="54">
        <v>21.86722</v>
      </c>
      <c r="H270" s="53" t="s">
        <v>725</v>
      </c>
      <c r="I270" s="55" t="s">
        <v>726</v>
      </c>
    </row>
    <row r="271" spans="1:9" x14ac:dyDescent="0.3">
      <c r="A271" s="52" t="s">
        <v>719</v>
      </c>
      <c r="B271" s="53" t="s">
        <v>720</v>
      </c>
      <c r="C271" s="52" t="s">
        <v>100</v>
      </c>
      <c r="D271" s="52" t="s">
        <v>101</v>
      </c>
      <c r="E271" s="52" t="s">
        <v>145</v>
      </c>
      <c r="F271" s="54">
        <v>50.579439999999998</v>
      </c>
      <c r="G271" s="54">
        <v>22.11917</v>
      </c>
      <c r="H271" s="53" t="s">
        <v>727</v>
      </c>
      <c r="I271" s="55" t="s">
        <v>728</v>
      </c>
    </row>
    <row r="272" spans="1:9" x14ac:dyDescent="0.3">
      <c r="A272" s="52" t="s">
        <v>729</v>
      </c>
      <c r="B272" s="53" t="s">
        <v>730</v>
      </c>
      <c r="C272" s="52" t="s">
        <v>100</v>
      </c>
      <c r="D272" s="52" t="s">
        <v>101</v>
      </c>
      <c r="E272" s="52" t="s">
        <v>142</v>
      </c>
      <c r="F272" s="54">
        <v>54.17</v>
      </c>
      <c r="G272" s="54">
        <v>22.93111</v>
      </c>
      <c r="H272" s="53" t="s">
        <v>731</v>
      </c>
      <c r="I272" s="55" t="s">
        <v>732</v>
      </c>
    </row>
    <row r="273" spans="1:9" x14ac:dyDescent="0.3">
      <c r="A273" s="52" t="s">
        <v>729</v>
      </c>
      <c r="B273" s="53" t="s">
        <v>730</v>
      </c>
      <c r="C273" s="52" t="s">
        <v>100</v>
      </c>
      <c r="D273" s="52" t="s">
        <v>101</v>
      </c>
      <c r="E273" s="52" t="s">
        <v>189</v>
      </c>
      <c r="F273" s="54">
        <v>53.935830000000003</v>
      </c>
      <c r="G273" s="54">
        <v>22.97861</v>
      </c>
      <c r="H273" s="53" t="s">
        <v>733</v>
      </c>
      <c r="I273" s="55" t="s">
        <v>734</v>
      </c>
    </row>
    <row r="274" spans="1:9" x14ac:dyDescent="0.3">
      <c r="A274" s="52" t="s">
        <v>729</v>
      </c>
      <c r="B274" s="53" t="s">
        <v>730</v>
      </c>
      <c r="C274" s="52" t="s">
        <v>100</v>
      </c>
      <c r="D274" s="52" t="s">
        <v>101</v>
      </c>
      <c r="E274" s="52" t="s">
        <v>195</v>
      </c>
      <c r="F274" s="54">
        <v>54.093330000000002</v>
      </c>
      <c r="G274" s="54">
        <v>22.650559999999999</v>
      </c>
      <c r="H274" s="53" t="s">
        <v>735</v>
      </c>
      <c r="I274" s="55" t="s">
        <v>736</v>
      </c>
    </row>
    <row r="275" spans="1:9" x14ac:dyDescent="0.3">
      <c r="A275" s="52" t="s">
        <v>737</v>
      </c>
      <c r="B275" s="53" t="s">
        <v>738</v>
      </c>
      <c r="C275" s="52" t="s">
        <v>208</v>
      </c>
      <c r="D275" s="52" t="s">
        <v>174</v>
      </c>
      <c r="E275" s="52" t="s">
        <v>105</v>
      </c>
      <c r="F275" s="54">
        <v>53.544440000000002</v>
      </c>
      <c r="G275" s="54">
        <v>20.82028</v>
      </c>
      <c r="H275" s="53" t="s">
        <v>739</v>
      </c>
      <c r="I275" s="55" t="s">
        <v>740</v>
      </c>
    </row>
    <row r="276" spans="1:9" x14ac:dyDescent="0.3">
      <c r="A276" s="52" t="s">
        <v>737</v>
      </c>
      <c r="B276" s="53" t="s">
        <v>738</v>
      </c>
      <c r="C276" s="52" t="s">
        <v>208</v>
      </c>
      <c r="D276" s="52" t="s">
        <v>174</v>
      </c>
      <c r="E276" s="52" t="s">
        <v>108</v>
      </c>
      <c r="F276" s="54">
        <v>53.254440000000002</v>
      </c>
      <c r="G276" s="54">
        <v>20.897780000000001</v>
      </c>
      <c r="H276" s="53" t="s">
        <v>741</v>
      </c>
      <c r="I276" s="55" t="s">
        <v>742</v>
      </c>
    </row>
    <row r="277" spans="1:9" x14ac:dyDescent="0.3">
      <c r="A277" s="52" t="s">
        <v>737</v>
      </c>
      <c r="B277" s="53" t="s">
        <v>738</v>
      </c>
      <c r="C277" s="52" t="s">
        <v>208</v>
      </c>
      <c r="D277" s="52" t="s">
        <v>174</v>
      </c>
      <c r="E277" s="52" t="s">
        <v>118</v>
      </c>
      <c r="F277" s="54">
        <v>53.702779999999997</v>
      </c>
      <c r="G277" s="54">
        <v>20.960830000000001</v>
      </c>
      <c r="H277" s="53" t="s">
        <v>743</v>
      </c>
      <c r="I277" s="55" t="s">
        <v>744</v>
      </c>
    </row>
    <row r="278" spans="1:9" x14ac:dyDescent="0.3">
      <c r="A278" s="52" t="s">
        <v>737</v>
      </c>
      <c r="B278" s="53" t="s">
        <v>738</v>
      </c>
      <c r="C278" s="52" t="s">
        <v>208</v>
      </c>
      <c r="D278" s="52" t="s">
        <v>174</v>
      </c>
      <c r="E278" s="52" t="s">
        <v>121</v>
      </c>
      <c r="F278" s="54">
        <v>53.473889999999997</v>
      </c>
      <c r="G278" s="54">
        <v>20.967500000000001</v>
      </c>
      <c r="H278" s="53" t="s">
        <v>745</v>
      </c>
      <c r="I278" s="55" t="s">
        <v>746</v>
      </c>
    </row>
    <row r="279" spans="1:9" x14ac:dyDescent="0.3">
      <c r="A279" s="52" t="s">
        <v>737</v>
      </c>
      <c r="B279" s="53" t="s">
        <v>738</v>
      </c>
      <c r="C279" s="52" t="s">
        <v>208</v>
      </c>
      <c r="D279" s="52" t="s">
        <v>174</v>
      </c>
      <c r="E279" s="52" t="s">
        <v>133</v>
      </c>
      <c r="F279" s="54">
        <v>53.449719999999999</v>
      </c>
      <c r="G279" s="54">
        <v>20.59722</v>
      </c>
      <c r="H279" s="53" t="s">
        <v>747</v>
      </c>
      <c r="I279" s="55" t="s">
        <v>748</v>
      </c>
    </row>
    <row r="280" spans="1:9" x14ac:dyDescent="0.3">
      <c r="A280" s="52" t="s">
        <v>737</v>
      </c>
      <c r="B280" s="53" t="s">
        <v>738</v>
      </c>
      <c r="C280" s="52" t="s">
        <v>208</v>
      </c>
      <c r="D280" s="52" t="s">
        <v>174</v>
      </c>
      <c r="E280" s="52" t="s">
        <v>142</v>
      </c>
      <c r="F280" s="54">
        <v>53.359720000000003</v>
      </c>
      <c r="G280" s="54">
        <v>20.429169999999999</v>
      </c>
      <c r="H280" s="53" t="s">
        <v>749</v>
      </c>
      <c r="I280" s="55" t="s">
        <v>750</v>
      </c>
    </row>
    <row r="281" spans="1:9" x14ac:dyDescent="0.3">
      <c r="A281" s="52" t="s">
        <v>737</v>
      </c>
      <c r="B281" s="53" t="s">
        <v>738</v>
      </c>
      <c r="C281" s="52" t="s">
        <v>208</v>
      </c>
      <c r="D281" s="52" t="s">
        <v>174</v>
      </c>
      <c r="E281" s="52" t="s">
        <v>195</v>
      </c>
      <c r="F281" s="54">
        <v>53.501939999999998</v>
      </c>
      <c r="G281" s="54">
        <v>20.898610000000001</v>
      </c>
      <c r="H281" s="53" t="s">
        <v>751</v>
      </c>
      <c r="I281" s="55" t="s">
        <v>752</v>
      </c>
    </row>
    <row r="282" spans="1:9" x14ac:dyDescent="0.3">
      <c r="A282" s="52" t="s">
        <v>737</v>
      </c>
      <c r="B282" s="53" t="s">
        <v>738</v>
      </c>
      <c r="C282" s="52" t="s">
        <v>208</v>
      </c>
      <c r="D282" s="52" t="s">
        <v>174</v>
      </c>
      <c r="E282" s="52" t="s">
        <v>151</v>
      </c>
      <c r="F282" s="54">
        <v>53.420279999999998</v>
      </c>
      <c r="G282" s="54">
        <v>21.11806</v>
      </c>
      <c r="H282" s="53" t="s">
        <v>753</v>
      </c>
      <c r="I282" s="55" t="s">
        <v>754</v>
      </c>
    </row>
    <row r="283" spans="1:9" x14ac:dyDescent="0.3">
      <c r="A283" s="52" t="s">
        <v>755</v>
      </c>
      <c r="B283" s="53" t="s">
        <v>756</v>
      </c>
      <c r="C283" s="52" t="s">
        <v>100</v>
      </c>
      <c r="D283" s="52" t="s">
        <v>101</v>
      </c>
      <c r="E283" s="52" t="s">
        <v>102</v>
      </c>
      <c r="F283" s="54">
        <v>53.086390000000002</v>
      </c>
      <c r="G283" s="54">
        <v>18.619720000000001</v>
      </c>
      <c r="H283" s="53" t="s">
        <v>757</v>
      </c>
      <c r="I283" s="55" t="s">
        <v>758</v>
      </c>
    </row>
    <row r="284" spans="1:9" x14ac:dyDescent="0.3">
      <c r="A284" s="52" t="s">
        <v>755</v>
      </c>
      <c r="B284" s="53" t="s">
        <v>756</v>
      </c>
      <c r="C284" s="52" t="s">
        <v>100</v>
      </c>
      <c r="D284" s="52" t="s">
        <v>101</v>
      </c>
      <c r="E284" s="52" t="s">
        <v>105</v>
      </c>
      <c r="F284" s="54">
        <v>53.005279999999999</v>
      </c>
      <c r="G284" s="54">
        <v>18.601939999999999</v>
      </c>
      <c r="H284" s="53" t="s">
        <v>759</v>
      </c>
      <c r="I284" s="55" t="s">
        <v>760</v>
      </c>
    </row>
    <row r="285" spans="1:9" x14ac:dyDescent="0.3">
      <c r="A285" s="52" t="s">
        <v>755</v>
      </c>
      <c r="B285" s="53" t="s">
        <v>756</v>
      </c>
      <c r="C285" s="52" t="s">
        <v>100</v>
      </c>
      <c r="D285" s="52" t="s">
        <v>101</v>
      </c>
      <c r="E285" s="52" t="s">
        <v>118</v>
      </c>
      <c r="F285" s="54">
        <v>52.994999999999997</v>
      </c>
      <c r="G285" s="54">
        <v>18.733889999999999</v>
      </c>
      <c r="H285" s="53" t="s">
        <v>761</v>
      </c>
      <c r="I285" s="55" t="s">
        <v>762</v>
      </c>
    </row>
    <row r="286" spans="1:9" x14ac:dyDescent="0.3">
      <c r="A286" s="52" t="s">
        <v>755</v>
      </c>
      <c r="B286" s="53" t="s">
        <v>756</v>
      </c>
      <c r="C286" s="52" t="s">
        <v>100</v>
      </c>
      <c r="D286" s="52" t="s">
        <v>101</v>
      </c>
      <c r="E286" s="52" t="s">
        <v>124</v>
      </c>
      <c r="F286" s="54">
        <v>52.992220000000003</v>
      </c>
      <c r="G286" s="54">
        <v>18.44528</v>
      </c>
      <c r="H286" s="53" t="s">
        <v>763</v>
      </c>
      <c r="I286" s="55" t="s">
        <v>764</v>
      </c>
    </row>
    <row r="287" spans="1:9" x14ac:dyDescent="0.3">
      <c r="A287" s="52" t="s">
        <v>765</v>
      </c>
      <c r="B287" s="53" t="s">
        <v>766</v>
      </c>
      <c r="C287" s="52" t="s">
        <v>208</v>
      </c>
      <c r="D287" s="52" t="s">
        <v>174</v>
      </c>
      <c r="E287" s="52" t="s">
        <v>102</v>
      </c>
      <c r="F287" s="54">
        <v>52.063330000000001</v>
      </c>
      <c r="G287" s="54">
        <v>20.74333</v>
      </c>
      <c r="H287" s="53" t="s">
        <v>767</v>
      </c>
      <c r="I287" s="55" t="s">
        <v>768</v>
      </c>
    </row>
    <row r="288" spans="1:9" x14ac:dyDescent="0.3">
      <c r="A288" s="52" t="s">
        <v>765</v>
      </c>
      <c r="B288" s="53" t="s">
        <v>766</v>
      </c>
      <c r="C288" s="52" t="s">
        <v>208</v>
      </c>
      <c r="D288" s="52" t="s">
        <v>174</v>
      </c>
      <c r="E288" s="52" t="s">
        <v>105</v>
      </c>
      <c r="F288" s="54">
        <v>52.184170000000002</v>
      </c>
      <c r="G288" s="54">
        <v>20.613890000000001</v>
      </c>
      <c r="H288" s="53" t="s">
        <v>769</v>
      </c>
      <c r="I288" s="55" t="s">
        <v>770</v>
      </c>
    </row>
    <row r="289" spans="1:9" x14ac:dyDescent="0.3">
      <c r="A289" s="52" t="s">
        <v>765</v>
      </c>
      <c r="B289" s="53" t="s">
        <v>766</v>
      </c>
      <c r="C289" s="52" t="s">
        <v>208</v>
      </c>
      <c r="D289" s="52" t="s">
        <v>174</v>
      </c>
      <c r="E289" s="52" t="s">
        <v>118</v>
      </c>
      <c r="F289" s="54">
        <v>52.343330000000002</v>
      </c>
      <c r="G289" s="54">
        <v>21.227779999999999</v>
      </c>
      <c r="H289" s="53" t="s">
        <v>771</v>
      </c>
      <c r="I289" s="55" t="s">
        <v>772</v>
      </c>
    </row>
    <row r="290" spans="1:9" x14ac:dyDescent="0.3">
      <c r="A290" s="52" t="s">
        <v>765</v>
      </c>
      <c r="B290" s="53" t="s">
        <v>766</v>
      </c>
      <c r="C290" s="52" t="s">
        <v>208</v>
      </c>
      <c r="D290" s="52" t="s">
        <v>174</v>
      </c>
      <c r="E290" s="52" t="s">
        <v>121</v>
      </c>
      <c r="F290" s="54">
        <v>52.181669999999997</v>
      </c>
      <c r="G290" s="54">
        <v>20.98611</v>
      </c>
      <c r="H290" s="53" t="s">
        <v>122</v>
      </c>
      <c r="I290" s="55" t="s">
        <v>773</v>
      </c>
    </row>
    <row r="291" spans="1:9" x14ac:dyDescent="0.3">
      <c r="A291" s="52" t="s">
        <v>765</v>
      </c>
      <c r="B291" s="53" t="s">
        <v>766</v>
      </c>
      <c r="C291" s="52" t="s">
        <v>208</v>
      </c>
      <c r="D291" s="52" t="s">
        <v>174</v>
      </c>
      <c r="E291" s="52" t="s">
        <v>124</v>
      </c>
      <c r="F291" s="54">
        <v>52.260829999999999</v>
      </c>
      <c r="G291" s="54">
        <v>20.73556</v>
      </c>
      <c r="H291" s="53" t="s">
        <v>774</v>
      </c>
      <c r="I291" s="55" t="s">
        <v>775</v>
      </c>
    </row>
    <row r="292" spans="1:9" x14ac:dyDescent="0.3">
      <c r="A292" s="52" t="s">
        <v>765</v>
      </c>
      <c r="B292" s="53" t="s">
        <v>766</v>
      </c>
      <c r="C292" s="52" t="s">
        <v>208</v>
      </c>
      <c r="D292" s="52" t="s">
        <v>174</v>
      </c>
      <c r="E292" s="52" t="s">
        <v>127</v>
      </c>
      <c r="F292" s="54">
        <v>51.990830000000003</v>
      </c>
      <c r="G292" s="54">
        <v>21.234719999999999</v>
      </c>
      <c r="H292" s="53" t="s">
        <v>128</v>
      </c>
      <c r="I292" s="55" t="s">
        <v>776</v>
      </c>
    </row>
    <row r="293" spans="1:9" x14ac:dyDescent="0.3">
      <c r="A293" s="52" t="s">
        <v>765</v>
      </c>
      <c r="B293" s="53" t="s">
        <v>766</v>
      </c>
      <c r="C293" s="52" t="s">
        <v>208</v>
      </c>
      <c r="D293" s="52" t="s">
        <v>174</v>
      </c>
      <c r="E293" s="52" t="s">
        <v>130</v>
      </c>
      <c r="F293" s="54">
        <v>52.377780000000001</v>
      </c>
      <c r="G293" s="54">
        <v>20.91667</v>
      </c>
      <c r="H293" s="53" t="s">
        <v>777</v>
      </c>
      <c r="I293" s="55" t="s">
        <v>778</v>
      </c>
    </row>
    <row r="294" spans="1:9" x14ac:dyDescent="0.3">
      <c r="A294" s="52" t="s">
        <v>765</v>
      </c>
      <c r="B294" s="53" t="s">
        <v>766</v>
      </c>
      <c r="C294" s="52" t="s">
        <v>208</v>
      </c>
      <c r="D294" s="52" t="s">
        <v>174</v>
      </c>
      <c r="E294" s="52" t="s">
        <v>133</v>
      </c>
      <c r="F294" s="54">
        <v>52.091389999999997</v>
      </c>
      <c r="G294" s="54">
        <v>21.237500000000001</v>
      </c>
      <c r="H294" s="53" t="s">
        <v>134</v>
      </c>
      <c r="I294" s="55" t="s">
        <v>779</v>
      </c>
    </row>
    <row r="295" spans="1:9" x14ac:dyDescent="0.3">
      <c r="A295" s="52" t="s">
        <v>765</v>
      </c>
      <c r="B295" s="53" t="s">
        <v>766</v>
      </c>
      <c r="C295" s="52" t="s">
        <v>208</v>
      </c>
      <c r="D295" s="52" t="s">
        <v>174</v>
      </c>
      <c r="E295" s="52" t="s">
        <v>136</v>
      </c>
      <c r="F295" s="54">
        <v>52.344439999999999</v>
      </c>
      <c r="G295" s="54">
        <v>20.920829999999999</v>
      </c>
      <c r="H295" s="53" t="s">
        <v>137</v>
      </c>
      <c r="I295" s="55" t="s">
        <v>780</v>
      </c>
    </row>
    <row r="296" spans="1:9" x14ac:dyDescent="0.3">
      <c r="A296" s="52" t="s">
        <v>765</v>
      </c>
      <c r="B296" s="53" t="s">
        <v>766</v>
      </c>
      <c r="C296" s="52" t="s">
        <v>208</v>
      </c>
      <c r="D296" s="52" t="s">
        <v>174</v>
      </c>
      <c r="E296" s="52" t="s">
        <v>139</v>
      </c>
      <c r="F296" s="54">
        <v>52.22278</v>
      </c>
      <c r="G296" s="54">
        <v>21.25</v>
      </c>
      <c r="H296" s="53" t="s">
        <v>140</v>
      </c>
      <c r="I296" s="55" t="s">
        <v>781</v>
      </c>
    </row>
    <row r="297" spans="1:9" x14ac:dyDescent="0.3">
      <c r="A297" s="52" t="s">
        <v>765</v>
      </c>
      <c r="B297" s="53" t="s">
        <v>766</v>
      </c>
      <c r="C297" s="52" t="s">
        <v>208</v>
      </c>
      <c r="D297" s="52" t="s">
        <v>174</v>
      </c>
      <c r="E297" s="52" t="s">
        <v>782</v>
      </c>
      <c r="F297" s="54">
        <v>52.259169999999997</v>
      </c>
      <c r="G297" s="54">
        <v>20.657219999999999</v>
      </c>
      <c r="H297" s="53" t="s">
        <v>783</v>
      </c>
      <c r="I297" s="55" t="s">
        <v>784</v>
      </c>
    </row>
    <row r="298" spans="1:9" x14ac:dyDescent="0.3">
      <c r="A298" s="52" t="s">
        <v>765</v>
      </c>
      <c r="B298" s="53" t="s">
        <v>766</v>
      </c>
      <c r="C298" s="52" t="s">
        <v>208</v>
      </c>
      <c r="D298" s="52" t="s">
        <v>174</v>
      </c>
      <c r="E298" s="52" t="s">
        <v>142</v>
      </c>
      <c r="F298" s="54">
        <v>52.217500000000001</v>
      </c>
      <c r="G298" s="54">
        <v>21.09722</v>
      </c>
      <c r="H298" s="53" t="s">
        <v>143</v>
      </c>
      <c r="I298" s="55" t="s">
        <v>785</v>
      </c>
    </row>
    <row r="299" spans="1:9" x14ac:dyDescent="0.3">
      <c r="A299" s="52" t="s">
        <v>765</v>
      </c>
      <c r="B299" s="53" t="s">
        <v>766</v>
      </c>
      <c r="C299" s="52" t="s">
        <v>208</v>
      </c>
      <c r="D299" s="52" t="s">
        <v>174</v>
      </c>
      <c r="E299" s="52" t="s">
        <v>163</v>
      </c>
      <c r="F299" s="54">
        <v>52.197499999999998</v>
      </c>
      <c r="G299" s="54">
        <v>21.051670000000001</v>
      </c>
      <c r="H299" s="53" t="s">
        <v>786</v>
      </c>
      <c r="I299" s="55" t="s">
        <v>787</v>
      </c>
    </row>
    <row r="300" spans="1:9" x14ac:dyDescent="0.3">
      <c r="A300" s="52" t="s">
        <v>765</v>
      </c>
      <c r="B300" s="53" t="s">
        <v>766</v>
      </c>
      <c r="C300" s="52" t="s">
        <v>208</v>
      </c>
      <c r="D300" s="52" t="s">
        <v>174</v>
      </c>
      <c r="E300" s="52" t="s">
        <v>145</v>
      </c>
      <c r="F300" s="54">
        <v>52.304720000000003</v>
      </c>
      <c r="G300" s="54">
        <v>21.08389</v>
      </c>
      <c r="H300" s="53" t="s">
        <v>146</v>
      </c>
      <c r="I300" s="55" t="s">
        <v>788</v>
      </c>
    </row>
    <row r="301" spans="1:9" x14ac:dyDescent="0.3">
      <c r="A301" s="52" t="s">
        <v>765</v>
      </c>
      <c r="B301" s="53" t="s">
        <v>766</v>
      </c>
      <c r="C301" s="52" t="s">
        <v>208</v>
      </c>
      <c r="D301" s="52" t="s">
        <v>174</v>
      </c>
      <c r="E301" s="52" t="s">
        <v>168</v>
      </c>
      <c r="F301" s="54">
        <v>52.134999999999998</v>
      </c>
      <c r="G301" s="54">
        <v>20.88944</v>
      </c>
      <c r="H301" s="53" t="s">
        <v>789</v>
      </c>
      <c r="I301" s="55" t="s">
        <v>790</v>
      </c>
    </row>
    <row r="302" spans="1:9" x14ac:dyDescent="0.3">
      <c r="A302" s="52" t="s">
        <v>765</v>
      </c>
      <c r="B302" s="53" t="s">
        <v>766</v>
      </c>
      <c r="C302" s="52" t="s">
        <v>208</v>
      </c>
      <c r="D302" s="52" t="s">
        <v>174</v>
      </c>
      <c r="E302" s="52" t="s">
        <v>148</v>
      </c>
      <c r="F302" s="54">
        <v>51.970559999999999</v>
      </c>
      <c r="G302" s="54">
        <v>20.83361</v>
      </c>
      <c r="H302" s="53" t="s">
        <v>149</v>
      </c>
      <c r="I302" s="55" t="s">
        <v>791</v>
      </c>
    </row>
    <row r="303" spans="1:9" x14ac:dyDescent="0.3">
      <c r="A303" s="52" t="s">
        <v>765</v>
      </c>
      <c r="B303" s="53" t="s">
        <v>766</v>
      </c>
      <c r="C303" s="52" t="s">
        <v>208</v>
      </c>
      <c r="D303" s="52" t="s">
        <v>174</v>
      </c>
      <c r="E303" s="52" t="s">
        <v>195</v>
      </c>
      <c r="F303" s="54">
        <v>52.156939999999999</v>
      </c>
      <c r="G303" s="54">
        <v>20.949719999999999</v>
      </c>
      <c r="H303" s="53" t="s">
        <v>792</v>
      </c>
      <c r="I303" s="55" t="s">
        <v>793</v>
      </c>
    </row>
    <row r="304" spans="1:9" x14ac:dyDescent="0.3">
      <c r="A304" s="52" t="s">
        <v>765</v>
      </c>
      <c r="B304" s="53" t="s">
        <v>766</v>
      </c>
      <c r="C304" s="52" t="s">
        <v>208</v>
      </c>
      <c r="D304" s="52" t="s">
        <v>174</v>
      </c>
      <c r="E304" s="52" t="s">
        <v>220</v>
      </c>
      <c r="F304" s="54">
        <v>52.108609999999999</v>
      </c>
      <c r="G304" s="54">
        <v>20.830829999999999</v>
      </c>
      <c r="H304" s="53" t="s">
        <v>794</v>
      </c>
      <c r="I304" s="55" t="s">
        <v>795</v>
      </c>
    </row>
    <row r="305" spans="1:9" x14ac:dyDescent="0.3">
      <c r="A305" s="52" t="s">
        <v>765</v>
      </c>
      <c r="B305" s="53" t="s">
        <v>766</v>
      </c>
      <c r="C305" s="52" t="s">
        <v>208</v>
      </c>
      <c r="D305" s="52" t="s">
        <v>174</v>
      </c>
      <c r="E305" s="52" t="s">
        <v>151</v>
      </c>
      <c r="F305" s="54">
        <v>52.290280000000003</v>
      </c>
      <c r="G305" s="54">
        <v>21.010829999999999</v>
      </c>
      <c r="H305" s="53" t="s">
        <v>152</v>
      </c>
      <c r="I305" s="55" t="s">
        <v>796</v>
      </c>
    </row>
    <row r="306" spans="1:9" x14ac:dyDescent="0.3">
      <c r="A306" s="52" t="s">
        <v>797</v>
      </c>
      <c r="B306" s="53" t="s">
        <v>798</v>
      </c>
      <c r="C306" s="52" t="s">
        <v>100</v>
      </c>
      <c r="D306" s="52" t="s">
        <v>101</v>
      </c>
      <c r="E306" s="52" t="s">
        <v>121</v>
      </c>
      <c r="F306" s="54">
        <v>52.533329999999999</v>
      </c>
      <c r="G306" s="54">
        <v>19.137219999999999</v>
      </c>
      <c r="H306" s="53" t="s">
        <v>799</v>
      </c>
      <c r="I306" s="55" t="s">
        <v>800</v>
      </c>
    </row>
    <row r="307" spans="1:9" x14ac:dyDescent="0.3">
      <c r="A307" s="52" t="s">
        <v>797</v>
      </c>
      <c r="B307" s="53" t="s">
        <v>798</v>
      </c>
      <c r="C307" s="52" t="s">
        <v>100</v>
      </c>
      <c r="D307" s="52" t="s">
        <v>101</v>
      </c>
      <c r="E307" s="52" t="s">
        <v>142</v>
      </c>
      <c r="F307" s="54">
        <v>52.656939999999999</v>
      </c>
      <c r="G307" s="54">
        <v>19.133890000000001</v>
      </c>
      <c r="H307" s="53" t="s">
        <v>801</v>
      </c>
      <c r="I307" s="55" t="s">
        <v>802</v>
      </c>
    </row>
    <row r="308" spans="1:9" x14ac:dyDescent="0.3">
      <c r="A308" s="52" t="s">
        <v>797</v>
      </c>
      <c r="B308" s="53" t="s">
        <v>798</v>
      </c>
      <c r="C308" s="52" t="s">
        <v>100</v>
      </c>
      <c r="D308" s="52" t="s">
        <v>101</v>
      </c>
      <c r="E308" s="52" t="s">
        <v>189</v>
      </c>
      <c r="F308" s="54">
        <v>52.474719999999998</v>
      </c>
      <c r="G308" s="54">
        <v>18.884720000000002</v>
      </c>
      <c r="H308" s="53" t="s">
        <v>803</v>
      </c>
      <c r="I308" s="55" t="s">
        <v>804</v>
      </c>
    </row>
    <row r="309" spans="1:9" x14ac:dyDescent="0.3">
      <c r="A309" s="52" t="s">
        <v>797</v>
      </c>
      <c r="B309" s="53" t="s">
        <v>798</v>
      </c>
      <c r="C309" s="52" t="s">
        <v>100</v>
      </c>
      <c r="D309" s="52" t="s">
        <v>101</v>
      </c>
      <c r="E309" s="52" t="s">
        <v>195</v>
      </c>
      <c r="F309" s="54">
        <v>52.60389</v>
      </c>
      <c r="G309" s="54">
        <v>18.886939999999999</v>
      </c>
      <c r="H309" s="53" t="s">
        <v>805</v>
      </c>
      <c r="I309" s="55" t="s">
        <v>806</v>
      </c>
    </row>
    <row r="310" spans="1:9" x14ac:dyDescent="0.3">
      <c r="A310" s="52" t="s">
        <v>807</v>
      </c>
      <c r="B310" s="53" t="s">
        <v>808</v>
      </c>
      <c r="C310" s="52" t="s">
        <v>208</v>
      </c>
      <c r="D310" s="52" t="s">
        <v>174</v>
      </c>
      <c r="E310" s="52" t="s">
        <v>127</v>
      </c>
      <c r="F310" s="54">
        <v>50.989440000000002</v>
      </c>
      <c r="G310" s="54">
        <v>16.83417</v>
      </c>
      <c r="H310" s="53" t="s">
        <v>809</v>
      </c>
      <c r="I310" s="55" t="s">
        <v>810</v>
      </c>
    </row>
    <row r="311" spans="1:9" x14ac:dyDescent="0.3">
      <c r="A311" s="52" t="s">
        <v>807</v>
      </c>
      <c r="B311" s="53" t="s">
        <v>808</v>
      </c>
      <c r="C311" s="52" t="s">
        <v>208</v>
      </c>
      <c r="D311" s="52" t="s">
        <v>174</v>
      </c>
      <c r="E311" s="52" t="s">
        <v>133</v>
      </c>
      <c r="F311" s="54">
        <v>51.04833</v>
      </c>
      <c r="G311" s="54">
        <v>16.613330000000001</v>
      </c>
      <c r="H311" s="53" t="s">
        <v>811</v>
      </c>
      <c r="I311" s="55" t="s">
        <v>812</v>
      </c>
    </row>
    <row r="312" spans="1:9" x14ac:dyDescent="0.3">
      <c r="A312" s="52" t="s">
        <v>807</v>
      </c>
      <c r="B312" s="53" t="s">
        <v>808</v>
      </c>
      <c r="C312" s="52" t="s">
        <v>208</v>
      </c>
      <c r="D312" s="52" t="s">
        <v>174</v>
      </c>
      <c r="E312" s="52" t="s">
        <v>142</v>
      </c>
      <c r="F312" s="54">
        <v>51.125830000000001</v>
      </c>
      <c r="G312" s="54">
        <v>16.90306</v>
      </c>
      <c r="H312" s="53" t="s">
        <v>813</v>
      </c>
      <c r="I312" s="55" t="s">
        <v>814</v>
      </c>
    </row>
    <row r="313" spans="1:9" x14ac:dyDescent="0.3">
      <c r="A313" s="52" t="s">
        <v>807</v>
      </c>
      <c r="B313" s="53" t="s">
        <v>808</v>
      </c>
      <c r="C313" s="52" t="s">
        <v>208</v>
      </c>
      <c r="D313" s="52" t="s">
        <v>174</v>
      </c>
      <c r="E313" s="52" t="s">
        <v>168</v>
      </c>
      <c r="F313" s="54">
        <v>51.155560000000001</v>
      </c>
      <c r="G313" s="54">
        <v>16.95889</v>
      </c>
      <c r="H313" s="53" t="s">
        <v>815</v>
      </c>
      <c r="I313" s="55" t="s">
        <v>816</v>
      </c>
    </row>
    <row r="314" spans="1:9" x14ac:dyDescent="0.3">
      <c r="A314" s="52" t="s">
        <v>807</v>
      </c>
      <c r="B314" s="53" t="s">
        <v>808</v>
      </c>
      <c r="C314" s="52" t="s">
        <v>208</v>
      </c>
      <c r="D314" s="52" t="s">
        <v>174</v>
      </c>
      <c r="E314" s="52" t="s">
        <v>189</v>
      </c>
      <c r="F314" s="54">
        <v>51.075000000000003</v>
      </c>
      <c r="G314" s="54">
        <v>16.883890000000001</v>
      </c>
      <c r="H314" s="53" t="s">
        <v>817</v>
      </c>
      <c r="I314" s="55" t="s">
        <v>818</v>
      </c>
    </row>
    <row r="315" spans="1:9" x14ac:dyDescent="0.3">
      <c r="A315" s="52" t="s">
        <v>807</v>
      </c>
      <c r="B315" s="53" t="s">
        <v>808</v>
      </c>
      <c r="C315" s="52" t="s">
        <v>208</v>
      </c>
      <c r="D315" s="52" t="s">
        <v>174</v>
      </c>
      <c r="E315" s="52" t="s">
        <v>151</v>
      </c>
      <c r="F315" s="54">
        <v>51.25</v>
      </c>
      <c r="G315" s="54">
        <v>16.841670000000001</v>
      </c>
      <c r="H315" s="53" t="s">
        <v>819</v>
      </c>
      <c r="I315" s="55" t="s">
        <v>820</v>
      </c>
    </row>
    <row r="316" spans="1:9" x14ac:dyDescent="0.3">
      <c r="A316" s="52" t="s">
        <v>821</v>
      </c>
      <c r="B316" s="53" t="s">
        <v>822</v>
      </c>
      <c r="C316" s="52" t="s">
        <v>100</v>
      </c>
      <c r="D316" s="52" t="s">
        <v>101</v>
      </c>
      <c r="E316" s="52" t="s">
        <v>118</v>
      </c>
      <c r="F316" s="54">
        <v>51.18</v>
      </c>
      <c r="G316" s="54">
        <v>17.192499999999999</v>
      </c>
      <c r="H316" s="53" t="s">
        <v>823</v>
      </c>
      <c r="I316" s="55" t="s">
        <v>824</v>
      </c>
    </row>
    <row r="317" spans="1:9" x14ac:dyDescent="0.3">
      <c r="A317" s="52" t="s">
        <v>821</v>
      </c>
      <c r="B317" s="53" t="s">
        <v>822</v>
      </c>
      <c r="C317" s="52" t="s">
        <v>100</v>
      </c>
      <c r="D317" s="52" t="s">
        <v>101</v>
      </c>
      <c r="E317" s="52" t="s">
        <v>163</v>
      </c>
      <c r="F317" s="54">
        <v>51.29833</v>
      </c>
      <c r="G317" s="54">
        <v>16.90944</v>
      </c>
      <c r="H317" s="53" t="s">
        <v>825</v>
      </c>
      <c r="I317" s="55" t="s">
        <v>826</v>
      </c>
    </row>
    <row r="318" spans="1:9" x14ac:dyDescent="0.3">
      <c r="A318" s="52" t="s">
        <v>821</v>
      </c>
      <c r="B318" s="53" t="s">
        <v>822</v>
      </c>
      <c r="C318" s="52" t="s">
        <v>100</v>
      </c>
      <c r="D318" s="52" t="s">
        <v>101</v>
      </c>
      <c r="E318" s="52" t="s">
        <v>168</v>
      </c>
      <c r="F318" s="54">
        <v>51.155560000000001</v>
      </c>
      <c r="G318" s="54">
        <v>16.95889</v>
      </c>
      <c r="H318" s="53" t="s">
        <v>815</v>
      </c>
      <c r="I318" s="55" t="s">
        <v>827</v>
      </c>
    </row>
    <row r="319" spans="1:9" x14ac:dyDescent="0.3">
      <c r="A319" s="52" t="s">
        <v>821</v>
      </c>
      <c r="B319" s="53" t="s">
        <v>822</v>
      </c>
      <c r="C319" s="52" t="s">
        <v>100</v>
      </c>
      <c r="D319" s="52" t="s">
        <v>101</v>
      </c>
      <c r="E319" s="52" t="s">
        <v>148</v>
      </c>
      <c r="F319" s="54">
        <v>51.301670000000001</v>
      </c>
      <c r="G319" s="54">
        <v>17.06278</v>
      </c>
      <c r="H319" s="53" t="s">
        <v>828</v>
      </c>
      <c r="I319" s="55" t="s">
        <v>829</v>
      </c>
    </row>
    <row r="320" spans="1:9" x14ac:dyDescent="0.3">
      <c r="A320" s="52" t="s">
        <v>821</v>
      </c>
      <c r="B320" s="53" t="s">
        <v>822</v>
      </c>
      <c r="C320" s="52" t="s">
        <v>100</v>
      </c>
      <c r="D320" s="52" t="s">
        <v>101</v>
      </c>
      <c r="E320" s="52" t="s">
        <v>151</v>
      </c>
      <c r="F320" s="54">
        <v>51.25</v>
      </c>
      <c r="G320" s="54">
        <v>16.841670000000001</v>
      </c>
      <c r="H320" s="53" t="s">
        <v>819</v>
      </c>
      <c r="I320" s="55" t="s">
        <v>830</v>
      </c>
    </row>
    <row r="321" spans="1:9" x14ac:dyDescent="0.3">
      <c r="A321" s="52" t="s">
        <v>831</v>
      </c>
      <c r="B321" s="53" t="s">
        <v>832</v>
      </c>
      <c r="C321" s="52" t="s">
        <v>100</v>
      </c>
      <c r="D321" s="52" t="s">
        <v>101</v>
      </c>
      <c r="E321" s="52" t="s">
        <v>102</v>
      </c>
      <c r="F321" s="54">
        <v>50.593890000000002</v>
      </c>
      <c r="G321" s="54">
        <v>23.174440000000001</v>
      </c>
      <c r="H321" s="53" t="s">
        <v>833</v>
      </c>
      <c r="I321" s="55" t="s">
        <v>834</v>
      </c>
    </row>
    <row r="322" spans="1:9" x14ac:dyDescent="0.3">
      <c r="A322" s="52" t="s">
        <v>831</v>
      </c>
      <c r="B322" s="53" t="s">
        <v>832</v>
      </c>
      <c r="C322" s="52" t="s">
        <v>100</v>
      </c>
      <c r="D322" s="52" t="s">
        <v>101</v>
      </c>
      <c r="E322" s="52" t="s">
        <v>105</v>
      </c>
      <c r="F322" s="54">
        <v>50.718060000000001</v>
      </c>
      <c r="G322" s="54">
        <v>23.032779999999999</v>
      </c>
      <c r="H322" s="53" t="s">
        <v>835</v>
      </c>
      <c r="I322" s="55" t="s">
        <v>836</v>
      </c>
    </row>
    <row r="323" spans="1:9" x14ac:dyDescent="0.3">
      <c r="A323" s="52" t="s">
        <v>831</v>
      </c>
      <c r="B323" s="53" t="s">
        <v>832</v>
      </c>
      <c r="C323" s="52" t="s">
        <v>100</v>
      </c>
      <c r="D323" s="52" t="s">
        <v>101</v>
      </c>
      <c r="E323" s="52" t="s">
        <v>160</v>
      </c>
      <c r="F323" s="54">
        <v>50.663330000000002</v>
      </c>
      <c r="G323" s="54">
        <v>23.19556</v>
      </c>
      <c r="H323" s="53" t="s">
        <v>837</v>
      </c>
      <c r="I323" s="55" t="s">
        <v>838</v>
      </c>
    </row>
    <row r="324" spans="1:9" x14ac:dyDescent="0.3">
      <c r="A324" s="52" t="s">
        <v>831</v>
      </c>
      <c r="B324" s="53" t="s">
        <v>832</v>
      </c>
      <c r="C324" s="52" t="s">
        <v>100</v>
      </c>
      <c r="D324" s="52" t="s">
        <v>101</v>
      </c>
      <c r="E324" s="52" t="s">
        <v>189</v>
      </c>
      <c r="F324" s="54">
        <v>50.750830000000001</v>
      </c>
      <c r="G324" s="54">
        <v>23.240829999999999</v>
      </c>
      <c r="H324" s="53" t="s">
        <v>839</v>
      </c>
      <c r="I324" s="55" t="s">
        <v>840</v>
      </c>
    </row>
    <row r="325" spans="1:9" x14ac:dyDescent="0.3">
      <c r="A325" s="52" t="s">
        <v>831</v>
      </c>
      <c r="B325" s="53" t="s">
        <v>832</v>
      </c>
      <c r="C325" s="52" t="s">
        <v>100</v>
      </c>
      <c r="D325" s="52" t="s">
        <v>101</v>
      </c>
      <c r="E325" s="52" t="s">
        <v>151</v>
      </c>
      <c r="F325" s="54">
        <v>50.721939999999996</v>
      </c>
      <c r="G325" s="54">
        <v>23.133610000000001</v>
      </c>
      <c r="H325" s="53" t="s">
        <v>841</v>
      </c>
      <c r="I325" s="55" t="s">
        <v>842</v>
      </c>
    </row>
    <row r="326" spans="1:9" x14ac:dyDescent="0.3">
      <c r="A326" s="52" t="s">
        <v>843</v>
      </c>
      <c r="B326" s="53" t="s">
        <v>844</v>
      </c>
      <c r="C326" s="52" t="s">
        <v>208</v>
      </c>
      <c r="D326" s="52" t="s">
        <v>174</v>
      </c>
      <c r="E326" s="52" t="s">
        <v>108</v>
      </c>
      <c r="F326" s="54">
        <v>52.031669999999998</v>
      </c>
      <c r="G326" s="54">
        <v>15.626939999999999</v>
      </c>
      <c r="H326" s="53" t="s">
        <v>845</v>
      </c>
      <c r="I326" s="55" t="s">
        <v>846</v>
      </c>
    </row>
    <row r="327" spans="1:9" x14ac:dyDescent="0.3">
      <c r="A327" s="52" t="s">
        <v>843</v>
      </c>
      <c r="B327" s="53" t="s">
        <v>844</v>
      </c>
      <c r="C327" s="52" t="s">
        <v>208</v>
      </c>
      <c r="D327" s="52" t="s">
        <v>174</v>
      </c>
      <c r="E327" s="52" t="s">
        <v>118</v>
      </c>
      <c r="F327" s="54">
        <v>52.158059999999999</v>
      </c>
      <c r="G327" s="54">
        <v>15.52</v>
      </c>
      <c r="H327" s="53" t="s">
        <v>847</v>
      </c>
      <c r="I327" s="55" t="s">
        <v>848</v>
      </c>
    </row>
    <row r="328" spans="1:9" x14ac:dyDescent="0.3">
      <c r="A328" s="52" t="s">
        <v>843</v>
      </c>
      <c r="B328" s="53" t="s">
        <v>844</v>
      </c>
      <c r="C328" s="52" t="s">
        <v>208</v>
      </c>
      <c r="D328" s="52" t="s">
        <v>174</v>
      </c>
      <c r="E328" s="52" t="s">
        <v>211</v>
      </c>
      <c r="F328" s="54">
        <v>52.304169999999999</v>
      </c>
      <c r="G328" s="54">
        <v>16.13139</v>
      </c>
      <c r="H328" s="53" t="s">
        <v>849</v>
      </c>
      <c r="I328" s="55" t="s">
        <v>850</v>
      </c>
    </row>
    <row r="329" spans="1:9" x14ac:dyDescent="0.3">
      <c r="A329" s="52" t="s">
        <v>843</v>
      </c>
      <c r="B329" s="53" t="s">
        <v>844</v>
      </c>
      <c r="C329" s="52" t="s">
        <v>208</v>
      </c>
      <c r="D329" s="52" t="s">
        <v>174</v>
      </c>
      <c r="E329" s="52" t="s">
        <v>133</v>
      </c>
      <c r="F329" s="54">
        <v>52.066670000000002</v>
      </c>
      <c r="G329" s="54">
        <v>15.86</v>
      </c>
      <c r="H329" s="53" t="s">
        <v>851</v>
      </c>
      <c r="I329" s="55" t="s">
        <v>852</v>
      </c>
    </row>
    <row r="330" spans="1:9" x14ac:dyDescent="0.3">
      <c r="A330" s="52" t="s">
        <v>843</v>
      </c>
      <c r="B330" s="53" t="s">
        <v>844</v>
      </c>
      <c r="C330" s="52" t="s">
        <v>208</v>
      </c>
      <c r="D330" s="52" t="s">
        <v>174</v>
      </c>
      <c r="E330" s="52" t="s">
        <v>142</v>
      </c>
      <c r="F330" s="54">
        <v>52.164720000000003</v>
      </c>
      <c r="G330" s="54">
        <v>15.81194</v>
      </c>
      <c r="H330" s="53" t="s">
        <v>853</v>
      </c>
      <c r="I330" s="55" t="s">
        <v>854</v>
      </c>
    </row>
    <row r="331" spans="1:9" x14ac:dyDescent="0.3">
      <c r="A331" s="52" t="s">
        <v>843</v>
      </c>
      <c r="B331" s="53" t="s">
        <v>844</v>
      </c>
      <c r="C331" s="52" t="s">
        <v>208</v>
      </c>
      <c r="D331" s="52" t="s">
        <v>174</v>
      </c>
      <c r="E331" s="52" t="s">
        <v>189</v>
      </c>
      <c r="F331" s="54">
        <v>52.121670000000002</v>
      </c>
      <c r="G331" s="54">
        <v>15.810280000000001</v>
      </c>
      <c r="H331" s="53" t="s">
        <v>855</v>
      </c>
      <c r="I331" s="55" t="s">
        <v>856</v>
      </c>
    </row>
    <row r="332" spans="1:9" x14ac:dyDescent="0.3">
      <c r="A332" s="52" t="s">
        <v>843</v>
      </c>
      <c r="B332" s="53" t="s">
        <v>844</v>
      </c>
      <c r="C332" s="52" t="s">
        <v>208</v>
      </c>
      <c r="D332" s="52" t="s">
        <v>174</v>
      </c>
      <c r="E332" s="52" t="s">
        <v>195</v>
      </c>
      <c r="F332" s="54">
        <v>52.097499999999997</v>
      </c>
      <c r="G332" s="54">
        <v>16.095279999999999</v>
      </c>
      <c r="H332" s="53" t="s">
        <v>857</v>
      </c>
      <c r="I332" s="55" t="s">
        <v>858</v>
      </c>
    </row>
    <row r="333" spans="1:9" x14ac:dyDescent="0.3">
      <c r="A333" s="52" t="s">
        <v>843</v>
      </c>
      <c r="B333" s="53" t="s">
        <v>844</v>
      </c>
      <c r="C333" s="52" t="s">
        <v>208</v>
      </c>
      <c r="D333" s="52" t="s">
        <v>174</v>
      </c>
      <c r="E333" s="52" t="s">
        <v>151</v>
      </c>
      <c r="F333" s="54">
        <v>52.230829999999997</v>
      </c>
      <c r="G333" s="54">
        <v>15.80556</v>
      </c>
      <c r="H333" s="53" t="s">
        <v>859</v>
      </c>
      <c r="I333" s="55" t="s">
        <v>860</v>
      </c>
    </row>
    <row r="334" spans="1:9" x14ac:dyDescent="0.3">
      <c r="A334" s="52" t="s">
        <v>861</v>
      </c>
      <c r="B334" s="53" t="s">
        <v>862</v>
      </c>
      <c r="C334" s="52" t="s">
        <v>100</v>
      </c>
      <c r="D334" s="52" t="s">
        <v>101</v>
      </c>
      <c r="E334" s="52" t="s">
        <v>121</v>
      </c>
      <c r="F334" s="54">
        <v>51.924999999999997</v>
      </c>
      <c r="G334" s="54">
        <v>15.561109999999999</v>
      </c>
      <c r="H334" s="53" t="s">
        <v>863</v>
      </c>
      <c r="I334" s="55" t="s">
        <v>864</v>
      </c>
    </row>
    <row r="335" spans="1:9" x14ac:dyDescent="0.3">
      <c r="A335" s="52" t="s">
        <v>861</v>
      </c>
      <c r="B335" s="53" t="s">
        <v>862</v>
      </c>
      <c r="C335" s="52" t="s">
        <v>100</v>
      </c>
      <c r="D335" s="52" t="s">
        <v>101</v>
      </c>
      <c r="E335" s="52" t="s">
        <v>139</v>
      </c>
      <c r="F335" s="54">
        <v>51.945279999999997</v>
      </c>
      <c r="G335" s="54">
        <v>15.31861</v>
      </c>
      <c r="H335" s="53" t="s">
        <v>865</v>
      </c>
      <c r="I335" s="55" t="s">
        <v>866</v>
      </c>
    </row>
    <row r="336" spans="1:9" x14ac:dyDescent="0.3">
      <c r="A336" s="52" t="s">
        <v>861</v>
      </c>
      <c r="B336" s="53" t="s">
        <v>862</v>
      </c>
      <c r="C336" s="52" t="s">
        <v>100</v>
      </c>
      <c r="D336" s="52" t="s">
        <v>101</v>
      </c>
      <c r="E336" s="52" t="s">
        <v>142</v>
      </c>
      <c r="F336" s="54">
        <v>52.000830000000001</v>
      </c>
      <c r="G336" s="54">
        <v>15.460279999999999</v>
      </c>
      <c r="H336" s="53" t="s">
        <v>867</v>
      </c>
      <c r="I336" s="55" t="s">
        <v>868</v>
      </c>
    </row>
    <row r="337" spans="1:9" x14ac:dyDescent="0.3">
      <c r="A337" s="52" t="s">
        <v>861</v>
      </c>
      <c r="B337" s="53" t="s">
        <v>862</v>
      </c>
      <c r="C337" s="52" t="s">
        <v>100</v>
      </c>
      <c r="D337" s="52" t="s">
        <v>101</v>
      </c>
      <c r="E337" s="52" t="s">
        <v>163</v>
      </c>
      <c r="F337" s="54">
        <v>52.049439999999997</v>
      </c>
      <c r="G337" s="54">
        <v>15.36111</v>
      </c>
      <c r="H337" s="53" t="s">
        <v>869</v>
      </c>
      <c r="I337" s="55" t="s">
        <v>870</v>
      </c>
    </row>
    <row r="338" spans="1:9" x14ac:dyDescent="0.3">
      <c r="A338" s="52" t="s">
        <v>861</v>
      </c>
      <c r="B338" s="53" t="s">
        <v>862</v>
      </c>
      <c r="C338" s="52" t="s">
        <v>100</v>
      </c>
      <c r="D338" s="52" t="s">
        <v>101</v>
      </c>
      <c r="E338" s="52" t="s">
        <v>168</v>
      </c>
      <c r="F338" s="54">
        <v>51.959440000000001</v>
      </c>
      <c r="G338" s="54">
        <v>15.46528</v>
      </c>
      <c r="H338" s="53" t="s">
        <v>871</v>
      </c>
      <c r="I338" s="55" t="s">
        <v>872</v>
      </c>
    </row>
    <row r="339" spans="1:9" x14ac:dyDescent="0.3">
      <c r="A339" s="52" t="s">
        <v>861</v>
      </c>
      <c r="B339" s="53" t="s">
        <v>862</v>
      </c>
      <c r="C339" s="52" t="s">
        <v>100</v>
      </c>
      <c r="D339" s="52" t="s">
        <v>101</v>
      </c>
      <c r="E339" s="52" t="s">
        <v>151</v>
      </c>
      <c r="F339" s="54">
        <v>51.990560000000002</v>
      </c>
      <c r="G339" s="54">
        <v>15.56278</v>
      </c>
      <c r="H339" s="53" t="s">
        <v>873</v>
      </c>
      <c r="I339" s="55" t="s">
        <v>874</v>
      </c>
    </row>
    <row r="340" spans="1:9" x14ac:dyDescent="0.3">
      <c r="A340" s="52" t="s">
        <v>875</v>
      </c>
      <c r="B340" s="53" t="s">
        <v>876</v>
      </c>
      <c r="C340" s="52" t="s">
        <v>100</v>
      </c>
      <c r="D340" s="52" t="s">
        <v>101</v>
      </c>
      <c r="E340" s="52" t="s">
        <v>127</v>
      </c>
      <c r="F340" s="54">
        <v>49.712220000000002</v>
      </c>
      <c r="G340" s="54">
        <v>19.308610000000002</v>
      </c>
      <c r="H340" s="53" t="s">
        <v>877</v>
      </c>
      <c r="I340" s="55" t="s">
        <v>878</v>
      </c>
    </row>
    <row r="341" spans="1:9" x14ac:dyDescent="0.3">
      <c r="A341" s="52" t="s">
        <v>875</v>
      </c>
      <c r="B341" s="53" t="s">
        <v>876</v>
      </c>
      <c r="C341" s="52" t="s">
        <v>100</v>
      </c>
      <c r="D341" s="52" t="s">
        <v>101</v>
      </c>
      <c r="E341" s="52" t="s">
        <v>130</v>
      </c>
      <c r="F341" s="54">
        <v>49.72</v>
      </c>
      <c r="G341" s="54">
        <v>19.210830000000001</v>
      </c>
      <c r="H341" s="53" t="s">
        <v>879</v>
      </c>
      <c r="I341" s="55" t="s">
        <v>880</v>
      </c>
    </row>
    <row r="342" spans="1:9" x14ac:dyDescent="0.3">
      <c r="A342" s="52" t="s">
        <v>875</v>
      </c>
      <c r="B342" s="53" t="s">
        <v>876</v>
      </c>
      <c r="C342" s="52" t="s">
        <v>100</v>
      </c>
      <c r="D342" s="52" t="s">
        <v>101</v>
      </c>
      <c r="E342" s="52" t="s">
        <v>133</v>
      </c>
      <c r="F342" s="54">
        <v>49.848889999999997</v>
      </c>
      <c r="G342" s="54">
        <v>19.216940000000001</v>
      </c>
      <c r="H342" s="53" t="s">
        <v>881</v>
      </c>
      <c r="I342" s="55" t="s">
        <v>882</v>
      </c>
    </row>
    <row r="343" spans="1:9" x14ac:dyDescent="0.3">
      <c r="A343" s="52" t="s">
        <v>875</v>
      </c>
      <c r="B343" s="53" t="s">
        <v>876</v>
      </c>
      <c r="C343" s="52" t="s">
        <v>100</v>
      </c>
      <c r="D343" s="52" t="s">
        <v>101</v>
      </c>
      <c r="E343" s="52" t="s">
        <v>139</v>
      </c>
      <c r="F343" s="54">
        <v>49.787219999999998</v>
      </c>
      <c r="G343" s="54">
        <v>19.19417</v>
      </c>
      <c r="H343" s="53" t="s">
        <v>883</v>
      </c>
      <c r="I343" s="55" t="s">
        <v>884</v>
      </c>
    </row>
    <row r="344" spans="1:9" x14ac:dyDescent="0.3">
      <c r="A344" s="52" t="s">
        <v>875</v>
      </c>
      <c r="B344" s="53" t="s">
        <v>876</v>
      </c>
      <c r="C344" s="52" t="s">
        <v>100</v>
      </c>
      <c r="D344" s="52" t="s">
        <v>101</v>
      </c>
      <c r="E344" s="52" t="s">
        <v>145</v>
      </c>
      <c r="F344" s="54">
        <v>49.81944</v>
      </c>
      <c r="G344" s="54">
        <v>19.21583</v>
      </c>
      <c r="H344" s="53" t="s">
        <v>885</v>
      </c>
      <c r="I344" s="55" t="s">
        <v>886</v>
      </c>
    </row>
    <row r="345" spans="1:9" x14ac:dyDescent="0.3">
      <c r="A345" s="52" t="s">
        <v>875</v>
      </c>
      <c r="B345" s="53" t="s">
        <v>876</v>
      </c>
      <c r="C345" s="52" t="s">
        <v>100</v>
      </c>
      <c r="D345" s="52" t="s">
        <v>101</v>
      </c>
      <c r="E345" s="52" t="s">
        <v>195</v>
      </c>
      <c r="F345" s="54">
        <v>49.761670000000002</v>
      </c>
      <c r="G345" s="54">
        <v>19.09083</v>
      </c>
      <c r="H345" s="53" t="s">
        <v>887</v>
      </c>
      <c r="I345" s="55" t="s">
        <v>888</v>
      </c>
    </row>
    <row r="346" spans="1:9" x14ac:dyDescent="0.3">
      <c r="A346" s="56" t="s">
        <v>98</v>
      </c>
      <c r="B346" s="57" t="s">
        <v>99</v>
      </c>
      <c r="C346" s="56" t="s">
        <v>100</v>
      </c>
      <c r="D346" s="56" t="s">
        <v>101</v>
      </c>
      <c r="E346" s="56" t="s">
        <v>889</v>
      </c>
      <c r="F346" s="58">
        <v>49.805</v>
      </c>
      <c r="G346" s="58">
        <v>19.002027999999999</v>
      </c>
      <c r="H346" s="57" t="s">
        <v>890</v>
      </c>
      <c r="I346" s="59" t="s">
        <v>891</v>
      </c>
    </row>
    <row r="347" spans="1:9" x14ac:dyDescent="0.3">
      <c r="A347" s="56" t="s">
        <v>111</v>
      </c>
      <c r="B347" s="57" t="s">
        <v>112</v>
      </c>
      <c r="C347" s="56" t="s">
        <v>113</v>
      </c>
      <c r="D347" s="56" t="s">
        <v>101</v>
      </c>
      <c r="E347" s="56" t="s">
        <v>889</v>
      </c>
      <c r="F347" s="58">
        <v>52.269193999999999</v>
      </c>
      <c r="G347" s="58">
        <v>20.907222000000001</v>
      </c>
      <c r="H347" s="57" t="s">
        <v>892</v>
      </c>
      <c r="I347" s="59" t="s">
        <v>893</v>
      </c>
    </row>
    <row r="348" spans="1:9" x14ac:dyDescent="0.3">
      <c r="A348" s="56" t="s">
        <v>154</v>
      </c>
      <c r="B348" s="57" t="s">
        <v>155</v>
      </c>
      <c r="C348" s="56" t="s">
        <v>100</v>
      </c>
      <c r="D348" s="56" t="s">
        <v>101</v>
      </c>
      <c r="E348" s="56" t="s">
        <v>889</v>
      </c>
      <c r="F348" s="58">
        <v>53.102249999999998</v>
      </c>
      <c r="G348" s="58">
        <v>23.171056</v>
      </c>
      <c r="H348" s="57" t="s">
        <v>894</v>
      </c>
      <c r="I348" s="59" t="s">
        <v>895</v>
      </c>
    </row>
    <row r="349" spans="1:9" x14ac:dyDescent="0.3">
      <c r="A349" s="56" t="s">
        <v>171</v>
      </c>
      <c r="B349" s="57" t="s">
        <v>172</v>
      </c>
      <c r="C349" s="56" t="s">
        <v>173</v>
      </c>
      <c r="D349" s="56" t="s">
        <v>174</v>
      </c>
      <c r="E349" s="56" t="s">
        <v>889</v>
      </c>
      <c r="F349" s="58">
        <v>53.096666999999997</v>
      </c>
      <c r="G349" s="58">
        <v>17.977778000000001</v>
      </c>
      <c r="H349" s="57" t="s">
        <v>896</v>
      </c>
      <c r="I349" s="59" t="s">
        <v>897</v>
      </c>
    </row>
    <row r="350" spans="1:9" x14ac:dyDescent="0.3">
      <c r="A350" s="56" t="s">
        <v>198</v>
      </c>
      <c r="B350" s="57" t="s">
        <v>199</v>
      </c>
      <c r="C350" s="56" t="s">
        <v>100</v>
      </c>
      <c r="D350" s="56" t="s">
        <v>101</v>
      </c>
      <c r="E350" s="56" t="s">
        <v>889</v>
      </c>
      <c r="F350" s="58">
        <v>51.082721999999997</v>
      </c>
      <c r="G350" s="58">
        <v>23.437750000000001</v>
      </c>
      <c r="H350" s="57" t="s">
        <v>898</v>
      </c>
      <c r="I350" s="59" t="s">
        <v>899</v>
      </c>
    </row>
    <row r="351" spans="1:9" x14ac:dyDescent="0.3">
      <c r="A351" s="56" t="s">
        <v>206</v>
      </c>
      <c r="B351" s="57" t="s">
        <v>207</v>
      </c>
      <c r="C351" s="56" t="s">
        <v>208</v>
      </c>
      <c r="D351" s="56" t="s">
        <v>174</v>
      </c>
      <c r="E351" s="56" t="s">
        <v>889</v>
      </c>
      <c r="F351" s="58">
        <v>54.377499999999998</v>
      </c>
      <c r="G351" s="58">
        <v>18.466111000000001</v>
      </c>
      <c r="H351" s="57" t="s">
        <v>900</v>
      </c>
      <c r="I351" s="59" t="s">
        <v>901</v>
      </c>
    </row>
    <row r="352" spans="1:9" x14ac:dyDescent="0.3">
      <c r="A352" s="56" t="s">
        <v>225</v>
      </c>
      <c r="B352" s="57" t="s">
        <v>226</v>
      </c>
      <c r="C352" s="56" t="s">
        <v>100</v>
      </c>
      <c r="D352" s="56" t="s">
        <v>101</v>
      </c>
      <c r="E352" s="56" t="s">
        <v>889</v>
      </c>
      <c r="F352" s="58">
        <v>53.524417</v>
      </c>
      <c r="G352" s="58">
        <v>18.849471999999999</v>
      </c>
      <c r="H352" s="57" t="s">
        <v>902</v>
      </c>
      <c r="I352" s="59" t="s">
        <v>903</v>
      </c>
    </row>
    <row r="353" spans="1:9" x14ac:dyDescent="0.3">
      <c r="A353" s="56" t="s">
        <v>237</v>
      </c>
      <c r="B353" s="57" t="s">
        <v>238</v>
      </c>
      <c r="C353" s="56" t="s">
        <v>100</v>
      </c>
      <c r="D353" s="56" t="s">
        <v>101</v>
      </c>
      <c r="E353" s="56" t="s">
        <v>889</v>
      </c>
      <c r="F353" s="58">
        <v>50.269944000000002</v>
      </c>
      <c r="G353" s="58">
        <v>18.672388999999999</v>
      </c>
      <c r="H353" s="57" t="s">
        <v>904</v>
      </c>
      <c r="I353" s="59" t="s">
        <v>905</v>
      </c>
    </row>
    <row r="354" spans="1:9" x14ac:dyDescent="0.3">
      <c r="A354" s="56" t="s">
        <v>254</v>
      </c>
      <c r="B354" s="57" t="s">
        <v>255</v>
      </c>
      <c r="C354" s="56" t="s">
        <v>100</v>
      </c>
      <c r="D354" s="56" t="s">
        <v>101</v>
      </c>
      <c r="E354" s="56" t="s">
        <v>889</v>
      </c>
      <c r="F354" s="58">
        <v>52.806277999999999</v>
      </c>
      <c r="G354" s="58">
        <v>18.284860999999999</v>
      </c>
      <c r="H354" s="57" t="s">
        <v>906</v>
      </c>
      <c r="I354" s="59" t="s">
        <v>907</v>
      </c>
    </row>
    <row r="355" spans="1:9" x14ac:dyDescent="0.3">
      <c r="A355" s="56" t="s">
        <v>272</v>
      </c>
      <c r="B355" s="57" t="s">
        <v>273</v>
      </c>
      <c r="C355" s="56" t="s">
        <v>100</v>
      </c>
      <c r="D355" s="56" t="s">
        <v>101</v>
      </c>
      <c r="E355" s="56" t="s">
        <v>889</v>
      </c>
      <c r="F355" s="58">
        <v>50.89875</v>
      </c>
      <c r="G355" s="58">
        <v>15.785167</v>
      </c>
      <c r="H355" s="57" t="s">
        <v>908</v>
      </c>
      <c r="I355" s="59" t="s">
        <v>909</v>
      </c>
    </row>
    <row r="356" spans="1:9" x14ac:dyDescent="0.3">
      <c r="A356" s="56" t="s">
        <v>286</v>
      </c>
      <c r="B356" s="57" t="s">
        <v>287</v>
      </c>
      <c r="C356" s="56" t="s">
        <v>100</v>
      </c>
      <c r="D356" s="56" t="s">
        <v>101</v>
      </c>
      <c r="E356" s="56" t="s">
        <v>889</v>
      </c>
      <c r="F356" s="58">
        <v>50.944028000000003</v>
      </c>
      <c r="G356" s="58">
        <v>15.766527999999999</v>
      </c>
      <c r="H356" s="57" t="s">
        <v>910</v>
      </c>
      <c r="I356" s="59" t="s">
        <v>911</v>
      </c>
    </row>
    <row r="357" spans="1:9" x14ac:dyDescent="0.3">
      <c r="A357" s="56" t="s">
        <v>294</v>
      </c>
      <c r="B357" s="57" t="s">
        <v>295</v>
      </c>
      <c r="C357" s="56" t="s">
        <v>100</v>
      </c>
      <c r="D357" s="56" t="s">
        <v>101</v>
      </c>
      <c r="E357" s="56" t="s">
        <v>889</v>
      </c>
      <c r="F357" s="58">
        <v>50.896861000000001</v>
      </c>
      <c r="G357" s="58">
        <v>20.731361</v>
      </c>
      <c r="H357" s="57" t="s">
        <v>912</v>
      </c>
      <c r="I357" s="59" t="s">
        <v>913</v>
      </c>
    </row>
    <row r="358" spans="1:9" x14ac:dyDescent="0.3">
      <c r="A358" s="56" t="s">
        <v>306</v>
      </c>
      <c r="B358" s="57" t="s">
        <v>307</v>
      </c>
      <c r="C358" s="56" t="s">
        <v>100</v>
      </c>
      <c r="D358" s="56" t="s">
        <v>101</v>
      </c>
      <c r="E358" s="56" t="s">
        <v>889</v>
      </c>
      <c r="F358" s="58">
        <v>54.046889</v>
      </c>
      <c r="G358" s="58">
        <v>21.426444</v>
      </c>
      <c r="H358" s="57" t="s">
        <v>914</v>
      </c>
      <c r="I358" s="59" t="s">
        <v>915</v>
      </c>
    </row>
    <row r="359" spans="1:9" x14ac:dyDescent="0.3">
      <c r="A359" s="56" t="s">
        <v>314</v>
      </c>
      <c r="B359" s="57" t="s">
        <v>315</v>
      </c>
      <c r="C359" s="56" t="s">
        <v>208</v>
      </c>
      <c r="D359" s="56" t="s">
        <v>174</v>
      </c>
      <c r="E359" s="56" t="s">
        <v>889</v>
      </c>
      <c r="F359" s="58">
        <v>50.077778000000002</v>
      </c>
      <c r="G359" s="58">
        <v>19.784721999999999</v>
      </c>
      <c r="H359" s="57" t="s">
        <v>916</v>
      </c>
      <c r="I359" s="59" t="s">
        <v>917</v>
      </c>
    </row>
    <row r="360" spans="1:9" x14ac:dyDescent="0.3">
      <c r="A360" s="56" t="s">
        <v>341</v>
      </c>
      <c r="B360" s="57" t="s">
        <v>342</v>
      </c>
      <c r="C360" s="56" t="s">
        <v>100</v>
      </c>
      <c r="D360" s="56" t="s">
        <v>101</v>
      </c>
      <c r="E360" s="56" t="s">
        <v>889</v>
      </c>
      <c r="F360" s="58">
        <v>50.238500000000002</v>
      </c>
      <c r="G360" s="58">
        <v>19.037167</v>
      </c>
      <c r="H360" s="57" t="s">
        <v>918</v>
      </c>
      <c r="I360" s="59" t="s">
        <v>919</v>
      </c>
    </row>
    <row r="361" spans="1:9" x14ac:dyDescent="0.3">
      <c r="A361" s="56" t="s">
        <v>351</v>
      </c>
      <c r="B361" s="57" t="s">
        <v>352</v>
      </c>
      <c r="C361" s="56" t="s">
        <v>100</v>
      </c>
      <c r="D361" s="56" t="s">
        <v>101</v>
      </c>
      <c r="E361" s="56" t="s">
        <v>889</v>
      </c>
      <c r="F361" s="58">
        <v>50.086388999999997</v>
      </c>
      <c r="G361" s="58">
        <v>20.202389</v>
      </c>
      <c r="H361" s="57" t="s">
        <v>920</v>
      </c>
      <c r="I361" s="59" t="s">
        <v>921</v>
      </c>
    </row>
    <row r="362" spans="1:9" x14ac:dyDescent="0.3">
      <c r="A362" s="56" t="s">
        <v>361</v>
      </c>
      <c r="B362" s="57" t="s">
        <v>362</v>
      </c>
      <c r="C362" s="56" t="s">
        <v>100</v>
      </c>
      <c r="D362" s="56" t="s">
        <v>101</v>
      </c>
      <c r="E362" s="56" t="s">
        <v>889</v>
      </c>
      <c r="F362" s="58">
        <v>49.679222000000003</v>
      </c>
      <c r="G362" s="58">
        <v>21.745000000000001</v>
      </c>
      <c r="H362" s="57" t="s">
        <v>922</v>
      </c>
      <c r="I362" s="59" t="s">
        <v>923</v>
      </c>
    </row>
    <row r="363" spans="1:9" x14ac:dyDescent="0.3">
      <c r="A363" s="56" t="s">
        <v>371</v>
      </c>
      <c r="B363" s="57" t="s">
        <v>372</v>
      </c>
      <c r="C363" s="56" t="s">
        <v>208</v>
      </c>
      <c r="D363" s="56" t="s">
        <v>174</v>
      </c>
      <c r="E363" s="56" t="s">
        <v>889</v>
      </c>
      <c r="F363" s="58">
        <v>50.474167000000001</v>
      </c>
      <c r="G363" s="58">
        <v>19.079999999999998</v>
      </c>
      <c r="H363" s="57" t="s">
        <v>924</v>
      </c>
      <c r="I363" s="59" t="s">
        <v>925</v>
      </c>
    </row>
    <row r="364" spans="1:9" x14ac:dyDescent="0.3">
      <c r="A364" s="56" t="s">
        <v>389</v>
      </c>
      <c r="B364" s="57" t="s">
        <v>390</v>
      </c>
      <c r="C364" s="56" t="s">
        <v>100</v>
      </c>
      <c r="D364" s="56" t="s">
        <v>101</v>
      </c>
      <c r="E364" s="56" t="s">
        <v>889</v>
      </c>
      <c r="F364" s="58">
        <v>49.940860999999998</v>
      </c>
      <c r="G364" s="58">
        <v>19.020889</v>
      </c>
      <c r="H364" s="57" t="s">
        <v>926</v>
      </c>
      <c r="I364" s="59" t="s">
        <v>927</v>
      </c>
    </row>
    <row r="365" spans="1:9" x14ac:dyDescent="0.3">
      <c r="A365" s="56" t="s">
        <v>399</v>
      </c>
      <c r="B365" s="57" t="s">
        <v>400</v>
      </c>
      <c r="C365" s="56" t="s">
        <v>208</v>
      </c>
      <c r="D365" s="56" t="s">
        <v>174</v>
      </c>
      <c r="E365" s="56" t="s">
        <v>889</v>
      </c>
      <c r="F365" s="58">
        <v>51.240278000000004</v>
      </c>
      <c r="G365" s="58">
        <v>22.713611</v>
      </c>
      <c r="H365" s="57" t="s">
        <v>928</v>
      </c>
      <c r="I365" s="59" t="s">
        <v>929</v>
      </c>
    </row>
    <row r="366" spans="1:9" x14ac:dyDescent="0.3">
      <c r="A366" s="56" t="s">
        <v>422</v>
      </c>
      <c r="B366" s="57" t="s">
        <v>423</v>
      </c>
      <c r="C366" s="56" t="s">
        <v>208</v>
      </c>
      <c r="D366" s="56" t="s">
        <v>174</v>
      </c>
      <c r="E366" s="56" t="s">
        <v>889</v>
      </c>
      <c r="F366" s="58">
        <v>51.721944000000001</v>
      </c>
      <c r="G366" s="58">
        <v>19.398056</v>
      </c>
      <c r="H366" s="57" t="s">
        <v>930</v>
      </c>
      <c r="I366" s="59" t="s">
        <v>931</v>
      </c>
    </row>
    <row r="367" spans="1:9" x14ac:dyDescent="0.3">
      <c r="A367" s="56" t="s">
        <v>446</v>
      </c>
      <c r="B367" s="57" t="s">
        <v>447</v>
      </c>
      <c r="C367" s="56" t="s">
        <v>100</v>
      </c>
      <c r="D367" s="56" t="s">
        <v>101</v>
      </c>
      <c r="E367" s="56" t="s">
        <v>889</v>
      </c>
      <c r="F367" s="58">
        <v>51.835278000000002</v>
      </c>
      <c r="G367" s="58">
        <v>16.522666999999998</v>
      </c>
      <c r="H367" s="57" t="s">
        <v>932</v>
      </c>
      <c r="I367" s="59" t="s">
        <v>933</v>
      </c>
    </row>
    <row r="368" spans="1:9" x14ac:dyDescent="0.3">
      <c r="A368" s="56" t="s">
        <v>456</v>
      </c>
      <c r="B368" s="57" t="s">
        <v>457</v>
      </c>
      <c r="C368" s="56" t="s">
        <v>113</v>
      </c>
      <c r="D368" s="56" t="s">
        <v>101</v>
      </c>
      <c r="E368" s="56" t="s">
        <v>889</v>
      </c>
      <c r="F368" s="58">
        <v>50.322277999999997</v>
      </c>
      <c r="G368" s="58">
        <v>21.461749999999999</v>
      </c>
      <c r="H368" s="57" t="s">
        <v>934</v>
      </c>
      <c r="I368" s="59" t="s">
        <v>935</v>
      </c>
    </row>
    <row r="369" spans="1:9" x14ac:dyDescent="0.3">
      <c r="A369" s="56" t="s">
        <v>465</v>
      </c>
      <c r="B369" s="57" t="s">
        <v>466</v>
      </c>
      <c r="C369" s="56" t="s">
        <v>208</v>
      </c>
      <c r="D369" s="56" t="s">
        <v>174</v>
      </c>
      <c r="E369" s="56" t="s">
        <v>889</v>
      </c>
      <c r="F369" s="58">
        <v>52.451110999999997</v>
      </c>
      <c r="G369" s="58">
        <v>20.651944</v>
      </c>
      <c r="H369" s="57" t="s">
        <v>936</v>
      </c>
      <c r="I369" s="59" t="s">
        <v>937</v>
      </c>
    </row>
    <row r="370" spans="1:9" x14ac:dyDescent="0.3">
      <c r="A370" s="56" t="s">
        <v>482</v>
      </c>
      <c r="B370" s="57" t="s">
        <v>483</v>
      </c>
      <c r="C370" s="56" t="s">
        <v>100</v>
      </c>
      <c r="D370" s="56" t="s">
        <v>101</v>
      </c>
      <c r="E370" s="56" t="s">
        <v>889</v>
      </c>
      <c r="F370" s="58">
        <v>50.959083</v>
      </c>
      <c r="G370" s="58">
        <v>16.770250000000001</v>
      </c>
      <c r="H370" s="57" t="s">
        <v>938</v>
      </c>
      <c r="I370" s="59" t="s">
        <v>939</v>
      </c>
    </row>
    <row r="371" spans="1:9" x14ac:dyDescent="0.3">
      <c r="A371" s="56" t="s">
        <v>492</v>
      </c>
      <c r="B371" s="57" t="s">
        <v>493</v>
      </c>
      <c r="C371" s="56" t="s">
        <v>100</v>
      </c>
      <c r="D371" s="56" t="s">
        <v>101</v>
      </c>
      <c r="E371" s="56" t="s">
        <v>889</v>
      </c>
      <c r="F371" s="58">
        <v>52.573999999999998</v>
      </c>
      <c r="G371" s="58">
        <v>20.871917</v>
      </c>
      <c r="H371" s="57" t="s">
        <v>940</v>
      </c>
      <c r="I371" s="59" t="s">
        <v>941</v>
      </c>
    </row>
    <row r="372" spans="1:9" x14ac:dyDescent="0.3">
      <c r="A372" s="56" t="s">
        <v>502</v>
      </c>
      <c r="B372" s="57" t="s">
        <v>503</v>
      </c>
      <c r="C372" s="56" t="s">
        <v>100</v>
      </c>
      <c r="D372" s="56" t="s">
        <v>101</v>
      </c>
      <c r="E372" s="56" t="s">
        <v>889</v>
      </c>
      <c r="F372" s="58">
        <v>49.462833000000003</v>
      </c>
      <c r="G372" s="58">
        <v>20.050667000000001</v>
      </c>
      <c r="H372" s="57" t="s">
        <v>942</v>
      </c>
      <c r="I372" s="59" t="s">
        <v>943</v>
      </c>
    </row>
    <row r="373" spans="1:9" x14ac:dyDescent="0.3">
      <c r="A373" s="56" t="s">
        <v>512</v>
      </c>
      <c r="B373" s="57" t="s">
        <v>513</v>
      </c>
      <c r="C373" s="56" t="s">
        <v>100</v>
      </c>
      <c r="D373" s="56" t="s">
        <v>101</v>
      </c>
      <c r="E373" s="56" t="s">
        <v>889</v>
      </c>
      <c r="F373" s="58">
        <v>53.773888999999997</v>
      </c>
      <c r="G373" s="58">
        <v>20.413499999999999</v>
      </c>
      <c r="H373" s="57" t="s">
        <v>944</v>
      </c>
      <c r="I373" s="59" t="s">
        <v>945</v>
      </c>
    </row>
    <row r="374" spans="1:9" x14ac:dyDescent="0.3">
      <c r="A374" s="56" t="s">
        <v>520</v>
      </c>
      <c r="B374" s="57" t="s">
        <v>521</v>
      </c>
      <c r="C374" s="56" t="s">
        <v>100</v>
      </c>
      <c r="D374" s="56" t="s">
        <v>101</v>
      </c>
      <c r="E374" s="56" t="s">
        <v>889</v>
      </c>
      <c r="F374" s="58">
        <v>51.700749999999999</v>
      </c>
      <c r="G374" s="58">
        <v>17.846361000000002</v>
      </c>
      <c r="H374" s="57" t="s">
        <v>946</v>
      </c>
      <c r="I374" s="59" t="s">
        <v>947</v>
      </c>
    </row>
    <row r="375" spans="1:9" x14ac:dyDescent="0.3">
      <c r="A375" s="56" t="s">
        <v>528</v>
      </c>
      <c r="B375" s="57" t="s">
        <v>529</v>
      </c>
      <c r="C375" s="56" t="s">
        <v>100</v>
      </c>
      <c r="D375" s="56" t="s">
        <v>101</v>
      </c>
      <c r="E375" s="56" t="s">
        <v>889</v>
      </c>
      <c r="F375" s="58">
        <v>50.632167000000003</v>
      </c>
      <c r="G375" s="58">
        <v>17.780667000000001</v>
      </c>
      <c r="H375" s="57" t="s">
        <v>948</v>
      </c>
      <c r="I375" s="59" t="s">
        <v>949</v>
      </c>
    </row>
    <row r="376" spans="1:9" x14ac:dyDescent="0.3">
      <c r="A376" s="56" t="s">
        <v>542</v>
      </c>
      <c r="B376" s="57" t="s">
        <v>543</v>
      </c>
      <c r="C376" s="56" t="s">
        <v>100</v>
      </c>
      <c r="D376" s="56" t="s">
        <v>101</v>
      </c>
      <c r="E376" s="56" t="s">
        <v>889</v>
      </c>
      <c r="F376" s="58">
        <v>52.534806000000003</v>
      </c>
      <c r="G376" s="58">
        <v>17.216138999999998</v>
      </c>
      <c r="H376" s="57" t="s">
        <v>950</v>
      </c>
      <c r="I376" s="59" t="s">
        <v>951</v>
      </c>
    </row>
    <row r="377" spans="1:9" x14ac:dyDescent="0.3">
      <c r="A377" s="56" t="s">
        <v>554</v>
      </c>
      <c r="B377" s="57" t="s">
        <v>555</v>
      </c>
      <c r="C377" s="56" t="s">
        <v>100</v>
      </c>
      <c r="D377" s="56" t="s">
        <v>101</v>
      </c>
      <c r="E377" s="56" t="s">
        <v>889</v>
      </c>
      <c r="F377" s="58">
        <v>52.434417000000003</v>
      </c>
      <c r="G377" s="58">
        <v>17.044194000000001</v>
      </c>
      <c r="H377" s="57" t="s">
        <v>952</v>
      </c>
      <c r="I377" s="59" t="s">
        <v>953</v>
      </c>
    </row>
    <row r="378" spans="1:9" x14ac:dyDescent="0.3">
      <c r="A378" s="56" t="s">
        <v>564</v>
      </c>
      <c r="B378" s="57" t="s">
        <v>565</v>
      </c>
      <c r="C378" s="56" t="s">
        <v>100</v>
      </c>
      <c r="D378" s="56" t="s">
        <v>101</v>
      </c>
      <c r="E378" s="56" t="s">
        <v>889</v>
      </c>
      <c r="F378" s="58">
        <v>52.561917000000001</v>
      </c>
      <c r="G378" s="58">
        <v>19.720917</v>
      </c>
      <c r="H378" s="57" t="s">
        <v>954</v>
      </c>
      <c r="I378" s="59" t="s">
        <v>955</v>
      </c>
    </row>
    <row r="379" spans="1:9" x14ac:dyDescent="0.3">
      <c r="A379" s="56" t="s">
        <v>572</v>
      </c>
      <c r="B379" s="57" t="s">
        <v>573</v>
      </c>
      <c r="C379" s="56" t="s">
        <v>208</v>
      </c>
      <c r="D379" s="56" t="s">
        <v>174</v>
      </c>
      <c r="E379" s="56" t="s">
        <v>889</v>
      </c>
      <c r="F379" s="58">
        <v>52.421111000000003</v>
      </c>
      <c r="G379" s="58">
        <v>16.826388999999999</v>
      </c>
      <c r="H379" s="57" t="s">
        <v>956</v>
      </c>
      <c r="I379" s="59" t="s">
        <v>957</v>
      </c>
    </row>
    <row r="380" spans="1:9" x14ac:dyDescent="0.3">
      <c r="A380" s="56" t="s">
        <v>598</v>
      </c>
      <c r="B380" s="57" t="s">
        <v>599</v>
      </c>
      <c r="C380" s="56" t="s">
        <v>113</v>
      </c>
      <c r="D380" s="56" t="s">
        <v>101</v>
      </c>
      <c r="E380" s="56" t="s">
        <v>889</v>
      </c>
      <c r="F380" s="58">
        <v>51.382556000000001</v>
      </c>
      <c r="G380" s="58">
        <v>19.688528000000002</v>
      </c>
      <c r="H380" s="57" t="s">
        <v>958</v>
      </c>
      <c r="I380" s="59" t="s">
        <v>959</v>
      </c>
    </row>
    <row r="381" spans="1:9" x14ac:dyDescent="0.3">
      <c r="A381" s="56" t="s">
        <v>612</v>
      </c>
      <c r="B381" s="57" t="s">
        <v>613</v>
      </c>
      <c r="C381" s="56" t="s">
        <v>614</v>
      </c>
      <c r="D381" s="56" t="s">
        <v>174</v>
      </c>
      <c r="E381" s="56" t="s">
        <v>889</v>
      </c>
      <c r="F381" s="58">
        <v>51.388888999999999</v>
      </c>
      <c r="G381" s="58">
        <v>21.211666999999998</v>
      </c>
      <c r="H381" s="57" t="s">
        <v>960</v>
      </c>
      <c r="I381" s="59" t="s">
        <v>961</v>
      </c>
    </row>
    <row r="382" spans="1:9" x14ac:dyDescent="0.3">
      <c r="A382" s="56" t="s">
        <v>635</v>
      </c>
      <c r="B382" s="57" t="s">
        <v>636</v>
      </c>
      <c r="C382" s="56" t="s">
        <v>100</v>
      </c>
      <c r="D382" s="56" t="s">
        <v>101</v>
      </c>
      <c r="E382" s="56" t="s">
        <v>889</v>
      </c>
      <c r="F382" s="58">
        <v>50.070999999999998</v>
      </c>
      <c r="G382" s="58">
        <v>18.629166999999999</v>
      </c>
      <c r="H382" s="57" t="s">
        <v>962</v>
      </c>
      <c r="I382" s="59" t="s">
        <v>963</v>
      </c>
    </row>
    <row r="383" spans="1:9" x14ac:dyDescent="0.3">
      <c r="A383" s="56" t="s">
        <v>643</v>
      </c>
      <c r="B383" s="57" t="s">
        <v>644</v>
      </c>
      <c r="C383" s="56" t="s">
        <v>100</v>
      </c>
      <c r="D383" s="56" t="s">
        <v>101</v>
      </c>
      <c r="E383" s="56" t="s">
        <v>889</v>
      </c>
      <c r="F383" s="58">
        <v>51.478999999999999</v>
      </c>
      <c r="G383" s="58">
        <v>21.109611000000001</v>
      </c>
      <c r="H383" s="57" t="s">
        <v>964</v>
      </c>
      <c r="I383" s="59" t="s">
        <v>965</v>
      </c>
    </row>
    <row r="384" spans="1:9" x14ac:dyDescent="0.3">
      <c r="A384" s="56" t="s">
        <v>655</v>
      </c>
      <c r="B384" s="57" t="s">
        <v>656</v>
      </c>
      <c r="C384" s="56" t="s">
        <v>100</v>
      </c>
      <c r="D384" s="56" t="s">
        <v>101</v>
      </c>
      <c r="E384" s="56" t="s">
        <v>889</v>
      </c>
      <c r="F384" s="58">
        <v>50.884805999999998</v>
      </c>
      <c r="G384" s="58">
        <v>19.202999999999999</v>
      </c>
      <c r="H384" s="57" t="s">
        <v>966</v>
      </c>
      <c r="I384" s="59" t="s">
        <v>967</v>
      </c>
    </row>
    <row r="385" spans="1:9" x14ac:dyDescent="0.3">
      <c r="A385" s="56" t="s">
        <v>665</v>
      </c>
      <c r="B385" s="57" t="s">
        <v>666</v>
      </c>
      <c r="C385" s="56" t="s">
        <v>208</v>
      </c>
      <c r="D385" s="56" t="s">
        <v>174</v>
      </c>
      <c r="E385" s="56" t="s">
        <v>889</v>
      </c>
      <c r="F385" s="58">
        <v>50.11</v>
      </c>
      <c r="G385" s="58">
        <v>22.018889000000001</v>
      </c>
      <c r="H385" s="57" t="s">
        <v>968</v>
      </c>
      <c r="I385" s="59" t="s">
        <v>969</v>
      </c>
    </row>
    <row r="386" spans="1:9" x14ac:dyDescent="0.3">
      <c r="A386" s="56" t="s">
        <v>687</v>
      </c>
      <c r="B386" s="57" t="s">
        <v>688</v>
      </c>
      <c r="C386" s="56" t="s">
        <v>208</v>
      </c>
      <c r="D386" s="56" t="s">
        <v>174</v>
      </c>
      <c r="E386" s="56" t="s">
        <v>889</v>
      </c>
      <c r="F386" s="58">
        <v>53.584721999999999</v>
      </c>
      <c r="G386" s="58">
        <v>14.902222</v>
      </c>
      <c r="H386" s="57" t="s">
        <v>970</v>
      </c>
      <c r="I386" s="59" t="s">
        <v>971</v>
      </c>
    </row>
    <row r="387" spans="1:9" x14ac:dyDescent="0.3">
      <c r="A387" s="56" t="s">
        <v>697</v>
      </c>
      <c r="B387" s="57" t="s">
        <v>698</v>
      </c>
      <c r="C387" s="56" t="s">
        <v>100</v>
      </c>
      <c r="D387" s="56" t="s">
        <v>101</v>
      </c>
      <c r="E387" s="56" t="s">
        <v>889</v>
      </c>
      <c r="F387" s="58">
        <v>53.390694000000003</v>
      </c>
      <c r="G387" s="58">
        <v>14.632417</v>
      </c>
      <c r="H387" s="57" t="s">
        <v>972</v>
      </c>
      <c r="I387" s="59" t="s">
        <v>973</v>
      </c>
    </row>
    <row r="388" spans="1:9" x14ac:dyDescent="0.3">
      <c r="A388" s="56" t="s">
        <v>709</v>
      </c>
      <c r="B388" s="57" t="s">
        <v>710</v>
      </c>
      <c r="C388" s="56" t="s">
        <v>100</v>
      </c>
      <c r="D388" s="56" t="s">
        <v>101</v>
      </c>
      <c r="E388" s="56" t="s">
        <v>889</v>
      </c>
      <c r="F388" s="58">
        <v>53.250528000000003</v>
      </c>
      <c r="G388" s="58">
        <v>16.751805999999998</v>
      </c>
      <c r="H388" s="57" t="s">
        <v>974</v>
      </c>
      <c r="I388" s="59" t="s">
        <v>975</v>
      </c>
    </row>
    <row r="389" spans="1:9" x14ac:dyDescent="0.3">
      <c r="A389" s="56" t="s">
        <v>719</v>
      </c>
      <c r="B389" s="57" t="s">
        <v>720</v>
      </c>
      <c r="C389" s="56" t="s">
        <v>100</v>
      </c>
      <c r="D389" s="56" t="s">
        <v>101</v>
      </c>
      <c r="E389" s="56" t="s">
        <v>889</v>
      </c>
      <c r="F389" s="58">
        <v>50.626389000000003</v>
      </c>
      <c r="G389" s="58">
        <v>21.999056</v>
      </c>
      <c r="H389" s="57" t="s">
        <v>976</v>
      </c>
      <c r="I389" s="59" t="s">
        <v>977</v>
      </c>
    </row>
    <row r="390" spans="1:9" x14ac:dyDescent="0.3">
      <c r="A390" s="56" t="s">
        <v>729</v>
      </c>
      <c r="B390" s="57" t="s">
        <v>730</v>
      </c>
      <c r="C390" s="56" t="s">
        <v>100</v>
      </c>
      <c r="D390" s="56" t="s">
        <v>101</v>
      </c>
      <c r="E390" s="56" t="s">
        <v>889</v>
      </c>
      <c r="F390" s="58">
        <v>54.074416999999997</v>
      </c>
      <c r="G390" s="58">
        <v>22.900082999999999</v>
      </c>
      <c r="H390" s="57" t="s">
        <v>978</v>
      </c>
      <c r="I390" s="59" t="s">
        <v>979</v>
      </c>
    </row>
    <row r="391" spans="1:9" x14ac:dyDescent="0.3">
      <c r="A391" s="56" t="s">
        <v>737</v>
      </c>
      <c r="B391" s="57" t="s">
        <v>738</v>
      </c>
      <c r="C391" s="56" t="s">
        <v>208</v>
      </c>
      <c r="D391" s="56" t="s">
        <v>174</v>
      </c>
      <c r="E391" s="56" t="s">
        <v>889</v>
      </c>
      <c r="F391" s="58">
        <v>53.481943999999999</v>
      </c>
      <c r="G391" s="58">
        <v>20.937778000000002</v>
      </c>
      <c r="H391" s="57" t="s">
        <v>980</v>
      </c>
      <c r="I391" s="59" t="s">
        <v>981</v>
      </c>
    </row>
    <row r="392" spans="1:9" x14ac:dyDescent="0.3">
      <c r="A392" s="56" t="s">
        <v>755</v>
      </c>
      <c r="B392" s="57" t="s">
        <v>756</v>
      </c>
      <c r="C392" s="56" t="s">
        <v>100</v>
      </c>
      <c r="D392" s="56" t="s">
        <v>101</v>
      </c>
      <c r="E392" s="56" t="s">
        <v>889</v>
      </c>
      <c r="F392" s="58">
        <v>53.029027999999997</v>
      </c>
      <c r="G392" s="58">
        <v>18.546889</v>
      </c>
      <c r="H392" s="57" t="s">
        <v>982</v>
      </c>
      <c r="I392" s="59" t="s">
        <v>983</v>
      </c>
    </row>
    <row r="393" spans="1:9" x14ac:dyDescent="0.3">
      <c r="A393" s="56" t="s">
        <v>765</v>
      </c>
      <c r="B393" s="57" t="s">
        <v>766</v>
      </c>
      <c r="C393" s="56" t="s">
        <v>208</v>
      </c>
      <c r="D393" s="56" t="s">
        <v>174</v>
      </c>
      <c r="E393" s="56" t="s">
        <v>889</v>
      </c>
      <c r="F393" s="58">
        <v>52.165832999999999</v>
      </c>
      <c r="G393" s="58">
        <v>20.967222</v>
      </c>
      <c r="H393" s="57" t="s">
        <v>984</v>
      </c>
      <c r="I393" s="59" t="s">
        <v>985</v>
      </c>
    </row>
    <row r="394" spans="1:9" x14ac:dyDescent="0.3">
      <c r="A394" s="56" t="s">
        <v>797</v>
      </c>
      <c r="B394" s="57" t="s">
        <v>798</v>
      </c>
      <c r="C394" s="56" t="s">
        <v>100</v>
      </c>
      <c r="D394" s="56" t="s">
        <v>101</v>
      </c>
      <c r="E394" s="56" t="s">
        <v>889</v>
      </c>
      <c r="F394" s="58">
        <v>52.584417000000002</v>
      </c>
      <c r="G394" s="58">
        <v>19.012499999999999</v>
      </c>
      <c r="H394" s="57" t="s">
        <v>986</v>
      </c>
      <c r="I394" s="59" t="s">
        <v>987</v>
      </c>
    </row>
    <row r="395" spans="1:9" x14ac:dyDescent="0.3">
      <c r="A395" s="56" t="s">
        <v>807</v>
      </c>
      <c r="B395" s="57" t="s">
        <v>808</v>
      </c>
      <c r="C395" s="56" t="s">
        <v>208</v>
      </c>
      <c r="D395" s="56" t="s">
        <v>174</v>
      </c>
      <c r="E395" s="56" t="s">
        <v>889</v>
      </c>
      <c r="F395" s="58">
        <v>51.102778000000001</v>
      </c>
      <c r="G395" s="58">
        <v>16.885833000000002</v>
      </c>
      <c r="H395" s="57" t="s">
        <v>988</v>
      </c>
      <c r="I395" s="59" t="s">
        <v>989</v>
      </c>
    </row>
    <row r="396" spans="1:9" x14ac:dyDescent="0.3">
      <c r="A396" s="56" t="s">
        <v>821</v>
      </c>
      <c r="B396" s="57" t="s">
        <v>822</v>
      </c>
      <c r="C396" s="56" t="s">
        <v>100</v>
      </c>
      <c r="D396" s="56" t="s">
        <v>101</v>
      </c>
      <c r="E396" s="56" t="s">
        <v>889</v>
      </c>
      <c r="F396" s="58">
        <v>51.207056000000001</v>
      </c>
      <c r="G396" s="58">
        <v>16.998305999999999</v>
      </c>
      <c r="H396" s="57" t="s">
        <v>990</v>
      </c>
      <c r="I396" s="59" t="s">
        <v>991</v>
      </c>
    </row>
    <row r="397" spans="1:9" x14ac:dyDescent="0.3">
      <c r="A397" s="56" t="s">
        <v>831</v>
      </c>
      <c r="B397" s="57" t="s">
        <v>832</v>
      </c>
      <c r="C397" s="56" t="s">
        <v>100</v>
      </c>
      <c r="D397" s="56" t="s">
        <v>101</v>
      </c>
      <c r="E397" s="56" t="s">
        <v>889</v>
      </c>
      <c r="F397" s="58">
        <v>50.700916999999997</v>
      </c>
      <c r="G397" s="58">
        <v>23.204833000000001</v>
      </c>
      <c r="H397" s="57" t="s">
        <v>992</v>
      </c>
      <c r="I397" s="59" t="s">
        <v>993</v>
      </c>
    </row>
    <row r="398" spans="1:9" x14ac:dyDescent="0.3">
      <c r="A398" s="56" t="s">
        <v>843</v>
      </c>
      <c r="B398" s="57" t="s">
        <v>844</v>
      </c>
      <c r="C398" s="56" t="s">
        <v>208</v>
      </c>
      <c r="D398" s="56" t="s">
        <v>174</v>
      </c>
      <c r="E398" s="56" t="s">
        <v>889</v>
      </c>
      <c r="F398" s="58">
        <v>52.138610999999997</v>
      </c>
      <c r="G398" s="58">
        <v>15.798610999999999</v>
      </c>
      <c r="H398" s="57" t="s">
        <v>994</v>
      </c>
      <c r="I398" s="59" t="s">
        <v>995</v>
      </c>
    </row>
    <row r="399" spans="1:9" x14ac:dyDescent="0.3">
      <c r="A399" s="56" t="s">
        <v>861</v>
      </c>
      <c r="B399" s="57" t="s">
        <v>862</v>
      </c>
      <c r="C399" s="56" t="s">
        <v>100</v>
      </c>
      <c r="D399" s="56" t="s">
        <v>101</v>
      </c>
      <c r="E399" s="56" t="s">
        <v>889</v>
      </c>
      <c r="F399" s="58">
        <v>51.979528000000002</v>
      </c>
      <c r="G399" s="58">
        <v>15.464055999999999</v>
      </c>
      <c r="H399" s="57" t="s">
        <v>996</v>
      </c>
      <c r="I399" s="59" t="s">
        <v>997</v>
      </c>
    </row>
    <row r="400" spans="1:9" x14ac:dyDescent="0.3">
      <c r="A400" s="56" t="s">
        <v>875</v>
      </c>
      <c r="B400" s="57" t="s">
        <v>876</v>
      </c>
      <c r="C400" s="56" t="s">
        <v>100</v>
      </c>
      <c r="D400" s="56" t="s">
        <v>101</v>
      </c>
      <c r="E400" s="56" t="s">
        <v>889</v>
      </c>
      <c r="F400" s="58">
        <v>49.770972</v>
      </c>
      <c r="G400" s="58">
        <v>19.218139000000001</v>
      </c>
      <c r="H400" s="57" t="s">
        <v>998</v>
      </c>
      <c r="I400" s="59" t="s">
        <v>999</v>
      </c>
    </row>
  </sheetData>
  <autoFilter ref="A3:H345" xr:uid="{00000000-0009-0000-0000-000002000000}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5"/>
  <sheetViews>
    <sheetView zoomScaleNormal="100" workbookViewId="0">
      <pane ySplit="3" topLeftCell="A158" activePane="bottomLeft" state="frozen"/>
      <selection pane="bottomLeft" activeCell="A174" sqref="A174"/>
    </sheetView>
  </sheetViews>
  <sheetFormatPr defaultColWidth="8.88671875" defaultRowHeight="14.4" x14ac:dyDescent="0.3"/>
  <cols>
    <col min="1" max="1" width="8" style="48" customWidth="1"/>
    <col min="2" max="2" width="34" style="48" customWidth="1"/>
    <col min="3" max="3" width="12" style="48" customWidth="1"/>
    <col min="4" max="5" width="14" style="48" customWidth="1"/>
    <col min="6" max="6" width="62" style="48" customWidth="1"/>
    <col min="7" max="16384" width="8.88671875" style="48"/>
  </cols>
  <sheetData>
    <row r="1" spans="1:6" ht="17.25" customHeight="1" x14ac:dyDescent="0.3">
      <c r="A1" s="79" t="s">
        <v>1000</v>
      </c>
      <c r="B1" s="79"/>
      <c r="C1" s="79"/>
      <c r="D1" s="79"/>
      <c r="E1" s="79"/>
      <c r="F1" s="79"/>
    </row>
    <row r="3" spans="1:6" x14ac:dyDescent="0.3">
      <c r="A3" s="50" t="s">
        <v>89</v>
      </c>
      <c r="B3" s="50" t="s">
        <v>1001</v>
      </c>
      <c r="C3" s="50" t="s">
        <v>93</v>
      </c>
      <c r="D3" s="50" t="s">
        <v>1002</v>
      </c>
      <c r="E3" s="50" t="s">
        <v>1003</v>
      </c>
      <c r="F3" s="50" t="s">
        <v>1004</v>
      </c>
    </row>
    <row r="4" spans="1:6" x14ac:dyDescent="0.3">
      <c r="A4" s="52" t="s">
        <v>98</v>
      </c>
      <c r="B4" s="53" t="s">
        <v>99</v>
      </c>
      <c r="C4" s="52" t="s">
        <v>102</v>
      </c>
      <c r="D4" s="52" t="s">
        <v>1005</v>
      </c>
      <c r="E4" s="52" t="s">
        <v>1006</v>
      </c>
      <c r="F4" s="53" t="s">
        <v>103</v>
      </c>
    </row>
    <row r="5" spans="1:6" x14ac:dyDescent="0.3">
      <c r="A5" s="52" t="s">
        <v>98</v>
      </c>
      <c r="B5" s="53" t="s">
        <v>99</v>
      </c>
      <c r="C5" s="52" t="s">
        <v>105</v>
      </c>
      <c r="D5" s="52" t="s">
        <v>1007</v>
      </c>
      <c r="E5" s="52" t="s">
        <v>1008</v>
      </c>
      <c r="F5" s="53" t="s">
        <v>106</v>
      </c>
    </row>
    <row r="6" spans="1:6" x14ac:dyDescent="0.3">
      <c r="A6" s="52" t="s">
        <v>98</v>
      </c>
      <c r="B6" s="53" t="s">
        <v>99</v>
      </c>
      <c r="C6" s="52" t="s">
        <v>108</v>
      </c>
      <c r="D6" s="52" t="s">
        <v>1009</v>
      </c>
      <c r="E6" s="52" t="s">
        <v>1010</v>
      </c>
      <c r="F6" s="53" t="s">
        <v>109</v>
      </c>
    </row>
    <row r="7" spans="1:6" x14ac:dyDescent="0.3">
      <c r="A7" s="52" t="s">
        <v>111</v>
      </c>
      <c r="B7" s="53" t="s">
        <v>112</v>
      </c>
      <c r="C7" s="52" t="s">
        <v>102</v>
      </c>
      <c r="D7" s="52" t="s">
        <v>1011</v>
      </c>
      <c r="E7" s="52" t="s">
        <v>1012</v>
      </c>
      <c r="F7" s="53" t="s">
        <v>114</v>
      </c>
    </row>
    <row r="8" spans="1:6" x14ac:dyDescent="0.3">
      <c r="A8" s="52" t="s">
        <v>111</v>
      </c>
      <c r="B8" s="53" t="s">
        <v>112</v>
      </c>
      <c r="C8" s="52" t="s">
        <v>105</v>
      </c>
      <c r="D8" s="52" t="s">
        <v>1013</v>
      </c>
      <c r="E8" s="52" t="s">
        <v>1014</v>
      </c>
      <c r="F8" s="53" t="s">
        <v>116</v>
      </c>
    </row>
    <row r="9" spans="1:6" x14ac:dyDescent="0.3">
      <c r="A9" s="52" t="s">
        <v>111</v>
      </c>
      <c r="B9" s="53" t="s">
        <v>112</v>
      </c>
      <c r="C9" s="52" t="s">
        <v>118</v>
      </c>
      <c r="D9" s="52" t="s">
        <v>1015</v>
      </c>
      <c r="E9" s="52" t="s">
        <v>1016</v>
      </c>
      <c r="F9" s="53" t="s">
        <v>119</v>
      </c>
    </row>
    <row r="10" spans="1:6" x14ac:dyDescent="0.3">
      <c r="A10" s="52" t="s">
        <v>111</v>
      </c>
      <c r="B10" s="53" t="s">
        <v>112</v>
      </c>
      <c r="C10" s="52" t="s">
        <v>121</v>
      </c>
      <c r="D10" s="52" t="s">
        <v>1017</v>
      </c>
      <c r="E10" s="52" t="s">
        <v>1018</v>
      </c>
      <c r="F10" s="53" t="s">
        <v>122</v>
      </c>
    </row>
    <row r="11" spans="1:6" x14ac:dyDescent="0.3">
      <c r="A11" s="52" t="s">
        <v>111</v>
      </c>
      <c r="B11" s="53" t="s">
        <v>112</v>
      </c>
      <c r="C11" s="52" t="s">
        <v>124</v>
      </c>
      <c r="D11" s="52" t="s">
        <v>1019</v>
      </c>
      <c r="E11" s="52" t="s">
        <v>1020</v>
      </c>
      <c r="F11" s="53" t="s">
        <v>125</v>
      </c>
    </row>
    <row r="12" spans="1:6" x14ac:dyDescent="0.3">
      <c r="A12" s="52" t="s">
        <v>111</v>
      </c>
      <c r="B12" s="53" t="s">
        <v>112</v>
      </c>
      <c r="C12" s="52" t="s">
        <v>127</v>
      </c>
      <c r="D12" s="52" t="s">
        <v>1021</v>
      </c>
      <c r="E12" s="52" t="s">
        <v>1022</v>
      </c>
      <c r="F12" s="53" t="s">
        <v>128</v>
      </c>
    </row>
    <row r="13" spans="1:6" x14ac:dyDescent="0.3">
      <c r="A13" s="52" t="s">
        <v>111</v>
      </c>
      <c r="B13" s="53" t="s">
        <v>112</v>
      </c>
      <c r="C13" s="52" t="s">
        <v>130</v>
      </c>
      <c r="D13" s="52" t="s">
        <v>1023</v>
      </c>
      <c r="E13" s="52" t="s">
        <v>1024</v>
      </c>
      <c r="F13" s="53" t="s">
        <v>131</v>
      </c>
    </row>
    <row r="14" spans="1:6" x14ac:dyDescent="0.3">
      <c r="A14" s="52" t="s">
        <v>111</v>
      </c>
      <c r="B14" s="53" t="s">
        <v>112</v>
      </c>
      <c r="C14" s="52" t="s">
        <v>133</v>
      </c>
      <c r="D14" s="52" t="s">
        <v>1025</v>
      </c>
      <c r="E14" s="52" t="s">
        <v>1026</v>
      </c>
      <c r="F14" s="53" t="s">
        <v>134</v>
      </c>
    </row>
    <row r="15" spans="1:6" x14ac:dyDescent="0.3">
      <c r="A15" s="52" t="s">
        <v>111</v>
      </c>
      <c r="B15" s="53" t="s">
        <v>112</v>
      </c>
      <c r="C15" s="52" t="s">
        <v>136</v>
      </c>
      <c r="D15" s="52" t="s">
        <v>1027</v>
      </c>
      <c r="E15" s="52" t="s">
        <v>1028</v>
      </c>
      <c r="F15" s="53" t="s">
        <v>137</v>
      </c>
    </row>
    <row r="16" spans="1:6" x14ac:dyDescent="0.3">
      <c r="A16" s="52" t="s">
        <v>111</v>
      </c>
      <c r="B16" s="53" t="s">
        <v>112</v>
      </c>
      <c r="C16" s="52" t="s">
        <v>139</v>
      </c>
      <c r="D16" s="52" t="s">
        <v>1029</v>
      </c>
      <c r="E16" s="52" t="s">
        <v>1030</v>
      </c>
      <c r="F16" s="53" t="s">
        <v>140</v>
      </c>
    </row>
    <row r="17" spans="1:6" x14ac:dyDescent="0.3">
      <c r="A17" s="52" t="s">
        <v>111</v>
      </c>
      <c r="B17" s="53" t="s">
        <v>112</v>
      </c>
      <c r="C17" s="52" t="s">
        <v>142</v>
      </c>
      <c r="D17" s="52" t="s">
        <v>1031</v>
      </c>
      <c r="E17" s="52" t="s">
        <v>1032</v>
      </c>
      <c r="F17" s="53" t="s">
        <v>143</v>
      </c>
    </row>
    <row r="18" spans="1:6" x14ac:dyDescent="0.3">
      <c r="A18" s="52" t="s">
        <v>111</v>
      </c>
      <c r="B18" s="53" t="s">
        <v>112</v>
      </c>
      <c r="C18" s="52" t="s">
        <v>145</v>
      </c>
      <c r="D18" s="52" t="s">
        <v>1033</v>
      </c>
      <c r="E18" s="52" t="s">
        <v>1034</v>
      </c>
      <c r="F18" s="53" t="s">
        <v>146</v>
      </c>
    </row>
    <row r="19" spans="1:6" x14ac:dyDescent="0.3">
      <c r="A19" s="52" t="s">
        <v>111</v>
      </c>
      <c r="B19" s="53" t="s">
        <v>112</v>
      </c>
      <c r="C19" s="52" t="s">
        <v>148</v>
      </c>
      <c r="D19" s="52" t="s">
        <v>1035</v>
      </c>
      <c r="E19" s="52" t="s">
        <v>1036</v>
      </c>
      <c r="F19" s="53" t="s">
        <v>149</v>
      </c>
    </row>
    <row r="20" spans="1:6" x14ac:dyDescent="0.3">
      <c r="A20" s="52" t="s">
        <v>111</v>
      </c>
      <c r="B20" s="53" t="s">
        <v>112</v>
      </c>
      <c r="C20" s="52" t="s">
        <v>151</v>
      </c>
      <c r="D20" s="52" t="s">
        <v>1037</v>
      </c>
      <c r="E20" s="52" t="s">
        <v>1038</v>
      </c>
      <c r="F20" s="53" t="s">
        <v>152</v>
      </c>
    </row>
    <row r="21" spans="1:6" x14ac:dyDescent="0.3">
      <c r="A21" s="52" t="s">
        <v>154</v>
      </c>
      <c r="B21" s="53" t="s">
        <v>155</v>
      </c>
      <c r="C21" s="52" t="s">
        <v>118</v>
      </c>
      <c r="D21" s="52" t="s">
        <v>1039</v>
      </c>
      <c r="E21" s="52" t="s">
        <v>1040</v>
      </c>
      <c r="F21" s="53" t="s">
        <v>156</v>
      </c>
    </row>
    <row r="22" spans="1:6" x14ac:dyDescent="0.3">
      <c r="A22" s="52" t="s">
        <v>154</v>
      </c>
      <c r="B22" s="53" t="s">
        <v>155</v>
      </c>
      <c r="C22" s="52" t="s">
        <v>133</v>
      </c>
      <c r="D22" s="52" t="s">
        <v>1041</v>
      </c>
      <c r="E22" s="52" t="s">
        <v>1042</v>
      </c>
      <c r="F22" s="53" t="s">
        <v>158</v>
      </c>
    </row>
    <row r="23" spans="1:6" x14ac:dyDescent="0.3">
      <c r="A23" s="52" t="s">
        <v>154</v>
      </c>
      <c r="B23" s="53" t="s">
        <v>155</v>
      </c>
      <c r="C23" s="52" t="s">
        <v>160</v>
      </c>
      <c r="D23" s="52" t="s">
        <v>1043</v>
      </c>
      <c r="E23" s="52" t="s">
        <v>1044</v>
      </c>
      <c r="F23" s="53" t="s">
        <v>161</v>
      </c>
    </row>
    <row r="24" spans="1:6" x14ac:dyDescent="0.3">
      <c r="A24" s="52" t="s">
        <v>154</v>
      </c>
      <c r="B24" s="53" t="s">
        <v>155</v>
      </c>
      <c r="C24" s="52" t="s">
        <v>163</v>
      </c>
      <c r="D24" s="52" t="s">
        <v>1045</v>
      </c>
      <c r="E24" s="52" t="s">
        <v>1046</v>
      </c>
      <c r="F24" s="53" t="s">
        <v>164</v>
      </c>
    </row>
    <row r="25" spans="1:6" x14ac:dyDescent="0.3">
      <c r="A25" s="52" t="s">
        <v>154</v>
      </c>
      <c r="B25" s="53" t="s">
        <v>155</v>
      </c>
      <c r="C25" s="52" t="s">
        <v>145</v>
      </c>
      <c r="D25" s="52" t="s">
        <v>1047</v>
      </c>
      <c r="E25" s="52" t="s">
        <v>1048</v>
      </c>
      <c r="F25" s="53" t="s">
        <v>166</v>
      </c>
    </row>
    <row r="26" spans="1:6" x14ac:dyDescent="0.3">
      <c r="A26" s="52" t="s">
        <v>154</v>
      </c>
      <c r="B26" s="53" t="s">
        <v>155</v>
      </c>
      <c r="C26" s="52" t="s">
        <v>168</v>
      </c>
      <c r="D26" s="52" t="s">
        <v>1049</v>
      </c>
      <c r="E26" s="52" t="s">
        <v>1050</v>
      </c>
      <c r="F26" s="53" t="s">
        <v>169</v>
      </c>
    </row>
    <row r="27" spans="1:6" x14ac:dyDescent="0.3">
      <c r="A27" s="52" t="s">
        <v>171</v>
      </c>
      <c r="B27" s="53" t="s">
        <v>172</v>
      </c>
      <c r="C27" s="52" t="s">
        <v>133</v>
      </c>
      <c r="D27" s="52" t="s">
        <v>1051</v>
      </c>
      <c r="E27" s="52" t="s">
        <v>1052</v>
      </c>
      <c r="F27" s="53" t="s">
        <v>175</v>
      </c>
    </row>
    <row r="28" spans="1:6" x14ac:dyDescent="0.3">
      <c r="A28" s="52" t="s">
        <v>171</v>
      </c>
      <c r="B28" s="53" t="s">
        <v>172</v>
      </c>
      <c r="C28" s="52" t="s">
        <v>160</v>
      </c>
      <c r="D28" s="52" t="s">
        <v>1053</v>
      </c>
      <c r="E28" s="52" t="s">
        <v>1054</v>
      </c>
      <c r="F28" s="53" t="s">
        <v>177</v>
      </c>
    </row>
    <row r="29" spans="1:6" x14ac:dyDescent="0.3">
      <c r="A29" s="52" t="s">
        <v>171</v>
      </c>
      <c r="B29" s="53" t="s">
        <v>172</v>
      </c>
      <c r="C29" s="52" t="s">
        <v>139</v>
      </c>
      <c r="D29" s="52" t="s">
        <v>1055</v>
      </c>
      <c r="E29" s="52" t="s">
        <v>1056</v>
      </c>
      <c r="F29" s="53" t="s">
        <v>179</v>
      </c>
    </row>
    <row r="30" spans="1:6" x14ac:dyDescent="0.3">
      <c r="A30" s="52" t="s">
        <v>171</v>
      </c>
      <c r="B30" s="53" t="s">
        <v>172</v>
      </c>
      <c r="C30" s="52" t="s">
        <v>142</v>
      </c>
      <c r="D30" s="52" t="s">
        <v>1057</v>
      </c>
      <c r="E30" s="52" t="s">
        <v>1058</v>
      </c>
      <c r="F30" s="53" t="s">
        <v>181</v>
      </c>
    </row>
    <row r="31" spans="1:6" x14ac:dyDescent="0.3">
      <c r="A31" s="52" t="s">
        <v>171</v>
      </c>
      <c r="B31" s="53" t="s">
        <v>172</v>
      </c>
      <c r="C31" s="52" t="s">
        <v>163</v>
      </c>
      <c r="D31" s="52" t="s">
        <v>1059</v>
      </c>
      <c r="E31" s="52" t="s">
        <v>1060</v>
      </c>
      <c r="F31" s="53" t="s">
        <v>183</v>
      </c>
    </row>
    <row r="32" spans="1:6" x14ac:dyDescent="0.3">
      <c r="A32" s="52" t="s">
        <v>171</v>
      </c>
      <c r="B32" s="53" t="s">
        <v>172</v>
      </c>
      <c r="C32" s="52" t="s">
        <v>145</v>
      </c>
      <c r="D32" s="52" t="s">
        <v>1061</v>
      </c>
      <c r="E32" s="52" t="s">
        <v>1062</v>
      </c>
      <c r="F32" s="53" t="s">
        <v>185</v>
      </c>
    </row>
    <row r="33" spans="1:6" x14ac:dyDescent="0.3">
      <c r="A33" s="52" t="s">
        <v>171</v>
      </c>
      <c r="B33" s="53" t="s">
        <v>172</v>
      </c>
      <c r="C33" s="52" t="s">
        <v>168</v>
      </c>
      <c r="D33" s="52" t="s">
        <v>1063</v>
      </c>
      <c r="E33" s="52" t="s">
        <v>1064</v>
      </c>
      <c r="F33" s="53" t="s">
        <v>187</v>
      </c>
    </row>
    <row r="34" spans="1:6" x14ac:dyDescent="0.3">
      <c r="A34" s="52" t="s">
        <v>171</v>
      </c>
      <c r="B34" s="53" t="s">
        <v>172</v>
      </c>
      <c r="C34" s="52" t="s">
        <v>189</v>
      </c>
      <c r="D34" s="52" t="s">
        <v>1065</v>
      </c>
      <c r="E34" s="52" t="s">
        <v>1066</v>
      </c>
      <c r="F34" s="53" t="s">
        <v>190</v>
      </c>
    </row>
    <row r="35" spans="1:6" x14ac:dyDescent="0.3">
      <c r="A35" s="52" t="s">
        <v>171</v>
      </c>
      <c r="B35" s="53" t="s">
        <v>172</v>
      </c>
      <c r="C35" s="52" t="s">
        <v>192</v>
      </c>
      <c r="D35" s="52" t="s">
        <v>1067</v>
      </c>
      <c r="E35" s="52" t="s">
        <v>1068</v>
      </c>
      <c r="F35" s="53" t="s">
        <v>193</v>
      </c>
    </row>
    <row r="36" spans="1:6" x14ac:dyDescent="0.3">
      <c r="A36" s="52" t="s">
        <v>171</v>
      </c>
      <c r="B36" s="53" t="s">
        <v>172</v>
      </c>
      <c r="C36" s="52" t="s">
        <v>195</v>
      </c>
      <c r="D36" s="52" t="s">
        <v>1069</v>
      </c>
      <c r="E36" s="52" t="s">
        <v>1070</v>
      </c>
      <c r="F36" s="53" t="s">
        <v>196</v>
      </c>
    </row>
    <row r="37" spans="1:6" x14ac:dyDescent="0.3">
      <c r="A37" s="52" t="s">
        <v>198</v>
      </c>
      <c r="B37" s="53" t="s">
        <v>199</v>
      </c>
      <c r="C37" s="52" t="s">
        <v>142</v>
      </c>
      <c r="D37" s="52" t="s">
        <v>1071</v>
      </c>
      <c r="E37" s="52" t="s">
        <v>1072</v>
      </c>
      <c r="F37" s="53" t="s">
        <v>200</v>
      </c>
    </row>
    <row r="38" spans="1:6" x14ac:dyDescent="0.3">
      <c r="A38" s="52" t="s">
        <v>198</v>
      </c>
      <c r="B38" s="53" t="s">
        <v>199</v>
      </c>
      <c r="C38" s="52" t="s">
        <v>195</v>
      </c>
      <c r="D38" s="52" t="s">
        <v>1073</v>
      </c>
      <c r="E38" s="52" t="s">
        <v>1074</v>
      </c>
      <c r="F38" s="53" t="s">
        <v>202</v>
      </c>
    </row>
    <row r="39" spans="1:6" x14ac:dyDescent="0.3">
      <c r="A39" s="52" t="s">
        <v>198</v>
      </c>
      <c r="B39" s="53" t="s">
        <v>199</v>
      </c>
      <c r="C39" s="52" t="s">
        <v>151</v>
      </c>
      <c r="D39" s="52" t="s">
        <v>1075</v>
      </c>
      <c r="E39" s="52" t="s">
        <v>1076</v>
      </c>
      <c r="F39" s="53" t="s">
        <v>204</v>
      </c>
    </row>
    <row r="40" spans="1:6" x14ac:dyDescent="0.3">
      <c r="A40" s="52" t="s">
        <v>206</v>
      </c>
      <c r="B40" s="53" t="s">
        <v>207</v>
      </c>
      <c r="C40" s="52" t="s">
        <v>127</v>
      </c>
      <c r="D40" s="52" t="s">
        <v>1077</v>
      </c>
      <c r="E40" s="52" t="s">
        <v>1078</v>
      </c>
      <c r="F40" s="53" t="s">
        <v>209</v>
      </c>
    </row>
    <row r="41" spans="1:6" x14ac:dyDescent="0.3">
      <c r="A41" s="52" t="s">
        <v>206</v>
      </c>
      <c r="B41" s="53" t="s">
        <v>207</v>
      </c>
      <c r="C41" s="52" t="s">
        <v>211</v>
      </c>
      <c r="D41" s="52" t="s">
        <v>1079</v>
      </c>
      <c r="E41" s="52" t="s">
        <v>1080</v>
      </c>
      <c r="F41" s="53" t="s">
        <v>212</v>
      </c>
    </row>
    <row r="42" spans="1:6" x14ac:dyDescent="0.3">
      <c r="A42" s="52" t="s">
        <v>206</v>
      </c>
      <c r="B42" s="53" t="s">
        <v>207</v>
      </c>
      <c r="C42" s="52" t="s">
        <v>139</v>
      </c>
      <c r="D42" s="52" t="s">
        <v>1081</v>
      </c>
      <c r="E42" s="52" t="s">
        <v>1082</v>
      </c>
      <c r="F42" s="53" t="s">
        <v>214</v>
      </c>
    </row>
    <row r="43" spans="1:6" x14ac:dyDescent="0.3">
      <c r="A43" s="52" t="s">
        <v>206</v>
      </c>
      <c r="B43" s="53" t="s">
        <v>207</v>
      </c>
      <c r="C43" s="52" t="s">
        <v>142</v>
      </c>
      <c r="D43" s="52" t="s">
        <v>1083</v>
      </c>
      <c r="E43" s="52" t="s">
        <v>1084</v>
      </c>
      <c r="F43" s="53" t="s">
        <v>216</v>
      </c>
    </row>
    <row r="44" spans="1:6" x14ac:dyDescent="0.3">
      <c r="A44" s="52" t="s">
        <v>206</v>
      </c>
      <c r="B44" s="53" t="s">
        <v>207</v>
      </c>
      <c r="C44" s="52" t="s">
        <v>189</v>
      </c>
      <c r="D44" s="52" t="s">
        <v>1085</v>
      </c>
      <c r="E44" s="52" t="s">
        <v>1086</v>
      </c>
      <c r="F44" s="53" t="s">
        <v>218</v>
      </c>
    </row>
    <row r="45" spans="1:6" x14ac:dyDescent="0.3">
      <c r="A45" s="52" t="s">
        <v>206</v>
      </c>
      <c r="B45" s="53" t="s">
        <v>207</v>
      </c>
      <c r="C45" s="52" t="s">
        <v>220</v>
      </c>
      <c r="D45" s="52" t="s">
        <v>1087</v>
      </c>
      <c r="E45" s="52" t="s">
        <v>1088</v>
      </c>
      <c r="F45" s="53" t="s">
        <v>221</v>
      </c>
    </row>
    <row r="46" spans="1:6" x14ac:dyDescent="0.3">
      <c r="A46" s="52" t="s">
        <v>206</v>
      </c>
      <c r="B46" s="53" t="s">
        <v>207</v>
      </c>
      <c r="C46" s="52" t="s">
        <v>151</v>
      </c>
      <c r="D46" s="52" t="s">
        <v>1089</v>
      </c>
      <c r="E46" s="52" t="s">
        <v>1090</v>
      </c>
      <c r="F46" s="53" t="s">
        <v>223</v>
      </c>
    </row>
    <row r="47" spans="1:6" x14ac:dyDescent="0.3">
      <c r="A47" s="52" t="s">
        <v>225</v>
      </c>
      <c r="B47" s="53" t="s">
        <v>226</v>
      </c>
      <c r="C47" s="52" t="s">
        <v>121</v>
      </c>
      <c r="D47" s="52" t="s">
        <v>1091</v>
      </c>
      <c r="E47" s="52" t="s">
        <v>1092</v>
      </c>
      <c r="F47" s="53" t="s">
        <v>227</v>
      </c>
    </row>
    <row r="48" spans="1:6" x14ac:dyDescent="0.3">
      <c r="A48" s="52" t="s">
        <v>225</v>
      </c>
      <c r="B48" s="53" t="s">
        <v>226</v>
      </c>
      <c r="C48" s="52" t="s">
        <v>127</v>
      </c>
      <c r="D48" s="52" t="s">
        <v>1093</v>
      </c>
      <c r="E48" s="52" t="s">
        <v>1094</v>
      </c>
      <c r="F48" s="53" t="s">
        <v>229</v>
      </c>
    </row>
    <row r="49" spans="1:6" x14ac:dyDescent="0.3">
      <c r="A49" s="52" t="s">
        <v>225</v>
      </c>
      <c r="B49" s="53" t="s">
        <v>226</v>
      </c>
      <c r="C49" s="52" t="s">
        <v>139</v>
      </c>
      <c r="D49" s="52" t="s">
        <v>1095</v>
      </c>
      <c r="E49" s="52" t="s">
        <v>1096</v>
      </c>
      <c r="F49" s="53" t="s">
        <v>231</v>
      </c>
    </row>
    <row r="50" spans="1:6" x14ac:dyDescent="0.3">
      <c r="A50" s="52" t="s">
        <v>225</v>
      </c>
      <c r="B50" s="53" t="s">
        <v>226</v>
      </c>
      <c r="C50" s="52" t="s">
        <v>163</v>
      </c>
      <c r="D50" s="52" t="s">
        <v>1097</v>
      </c>
      <c r="E50" s="52" t="s">
        <v>1098</v>
      </c>
      <c r="F50" s="53" t="s">
        <v>233</v>
      </c>
    </row>
    <row r="51" spans="1:6" x14ac:dyDescent="0.3">
      <c r="A51" s="52" t="s">
        <v>225</v>
      </c>
      <c r="B51" s="53" t="s">
        <v>226</v>
      </c>
      <c r="C51" s="52" t="s">
        <v>168</v>
      </c>
      <c r="D51" s="52" t="s">
        <v>1099</v>
      </c>
      <c r="E51" s="52" t="s">
        <v>1100</v>
      </c>
      <c r="F51" s="53" t="s">
        <v>235</v>
      </c>
    </row>
    <row r="52" spans="1:6" x14ac:dyDescent="0.3">
      <c r="A52" s="52" t="s">
        <v>237</v>
      </c>
      <c r="B52" s="53" t="s">
        <v>238</v>
      </c>
      <c r="C52" s="52" t="s">
        <v>105</v>
      </c>
      <c r="D52" s="52" t="s">
        <v>1101</v>
      </c>
      <c r="E52" s="52" t="s">
        <v>1102</v>
      </c>
      <c r="F52" s="53" t="s">
        <v>239</v>
      </c>
    </row>
    <row r="53" spans="1:6" x14ac:dyDescent="0.3">
      <c r="A53" s="52" t="s">
        <v>237</v>
      </c>
      <c r="B53" s="53" t="s">
        <v>238</v>
      </c>
      <c r="C53" s="52" t="s">
        <v>127</v>
      </c>
      <c r="D53" s="52" t="s">
        <v>1103</v>
      </c>
      <c r="E53" s="52" t="s">
        <v>1104</v>
      </c>
      <c r="F53" s="53" t="s">
        <v>241</v>
      </c>
    </row>
    <row r="54" spans="1:6" x14ac:dyDescent="0.3">
      <c r="A54" s="52" t="s">
        <v>237</v>
      </c>
      <c r="B54" s="53" t="s">
        <v>238</v>
      </c>
      <c r="C54" s="52" t="s">
        <v>243</v>
      </c>
      <c r="D54" s="52" t="s">
        <v>1105</v>
      </c>
      <c r="E54" s="52" t="s">
        <v>1106</v>
      </c>
      <c r="F54" s="53" t="s">
        <v>244</v>
      </c>
    </row>
    <row r="55" spans="1:6" x14ac:dyDescent="0.3">
      <c r="A55" s="52" t="s">
        <v>237</v>
      </c>
      <c r="B55" s="53" t="s">
        <v>238</v>
      </c>
      <c r="C55" s="52" t="s">
        <v>139</v>
      </c>
      <c r="D55" s="52" t="s">
        <v>1107</v>
      </c>
      <c r="E55" s="52" t="s">
        <v>1108</v>
      </c>
      <c r="F55" s="53" t="s">
        <v>246</v>
      </c>
    </row>
    <row r="56" spans="1:6" x14ac:dyDescent="0.3">
      <c r="A56" s="52" t="s">
        <v>237</v>
      </c>
      <c r="B56" s="53" t="s">
        <v>238</v>
      </c>
      <c r="C56" s="52" t="s">
        <v>145</v>
      </c>
      <c r="D56" s="52" t="s">
        <v>1109</v>
      </c>
      <c r="E56" s="52" t="s">
        <v>1110</v>
      </c>
      <c r="F56" s="53" t="s">
        <v>248</v>
      </c>
    </row>
    <row r="57" spans="1:6" x14ac:dyDescent="0.3">
      <c r="A57" s="52" t="s">
        <v>237</v>
      </c>
      <c r="B57" s="53" t="s">
        <v>238</v>
      </c>
      <c r="C57" s="52" t="s">
        <v>189</v>
      </c>
      <c r="D57" s="52" t="s">
        <v>1111</v>
      </c>
      <c r="E57" s="52" t="s">
        <v>1112</v>
      </c>
      <c r="F57" s="53" t="s">
        <v>250</v>
      </c>
    </row>
    <row r="58" spans="1:6" x14ac:dyDescent="0.3">
      <c r="A58" s="52" t="s">
        <v>237</v>
      </c>
      <c r="B58" s="53" t="s">
        <v>238</v>
      </c>
      <c r="C58" s="52" t="s">
        <v>148</v>
      </c>
      <c r="D58" s="52" t="s">
        <v>1113</v>
      </c>
      <c r="E58" s="52" t="s">
        <v>1114</v>
      </c>
      <c r="F58" s="53" t="s">
        <v>252</v>
      </c>
    </row>
    <row r="59" spans="1:6" x14ac:dyDescent="0.3">
      <c r="A59" s="52" t="s">
        <v>254</v>
      </c>
      <c r="B59" s="53" t="s">
        <v>255</v>
      </c>
      <c r="C59" s="52" t="s">
        <v>130</v>
      </c>
      <c r="D59" s="52" t="s">
        <v>1115</v>
      </c>
      <c r="E59" s="52" t="s">
        <v>1116</v>
      </c>
      <c r="F59" s="53" t="s">
        <v>256</v>
      </c>
    </row>
    <row r="60" spans="1:6" x14ac:dyDescent="0.3">
      <c r="A60" s="52" t="s">
        <v>254</v>
      </c>
      <c r="B60" s="53" t="s">
        <v>255</v>
      </c>
      <c r="C60" s="52" t="s">
        <v>139</v>
      </c>
      <c r="D60" s="52" t="s">
        <v>1117</v>
      </c>
      <c r="E60" s="52" t="s">
        <v>1118</v>
      </c>
      <c r="F60" s="53" t="s">
        <v>258</v>
      </c>
    </row>
    <row r="61" spans="1:6" x14ac:dyDescent="0.3">
      <c r="A61" s="52" t="s">
        <v>254</v>
      </c>
      <c r="B61" s="53" t="s">
        <v>255</v>
      </c>
      <c r="C61" s="52" t="s">
        <v>142</v>
      </c>
      <c r="D61" s="52" t="s">
        <v>1119</v>
      </c>
      <c r="E61" s="52" t="s">
        <v>1120</v>
      </c>
      <c r="F61" s="53" t="s">
        <v>260</v>
      </c>
    </row>
    <row r="62" spans="1:6" x14ac:dyDescent="0.3">
      <c r="A62" s="52" t="s">
        <v>254</v>
      </c>
      <c r="B62" s="53" t="s">
        <v>255</v>
      </c>
      <c r="C62" s="52" t="s">
        <v>145</v>
      </c>
      <c r="D62" s="52" t="s">
        <v>1121</v>
      </c>
      <c r="E62" s="52" t="s">
        <v>1122</v>
      </c>
      <c r="F62" s="53" t="s">
        <v>262</v>
      </c>
    </row>
    <row r="63" spans="1:6" x14ac:dyDescent="0.3">
      <c r="A63" s="52" t="s">
        <v>254</v>
      </c>
      <c r="B63" s="53" t="s">
        <v>255</v>
      </c>
      <c r="C63" s="52" t="s">
        <v>168</v>
      </c>
      <c r="D63" s="52" t="s">
        <v>1123</v>
      </c>
      <c r="E63" s="52" t="s">
        <v>1124</v>
      </c>
      <c r="F63" s="53" t="s">
        <v>264</v>
      </c>
    </row>
    <row r="64" spans="1:6" x14ac:dyDescent="0.3">
      <c r="A64" s="52" t="s">
        <v>254</v>
      </c>
      <c r="B64" s="53" t="s">
        <v>255</v>
      </c>
      <c r="C64" s="52" t="s">
        <v>189</v>
      </c>
      <c r="D64" s="52" t="s">
        <v>1125</v>
      </c>
      <c r="E64" s="52" t="s">
        <v>1126</v>
      </c>
      <c r="F64" s="53" t="s">
        <v>266</v>
      </c>
    </row>
    <row r="65" spans="1:6" x14ac:dyDescent="0.3">
      <c r="A65" s="52" t="s">
        <v>254</v>
      </c>
      <c r="B65" s="53" t="s">
        <v>255</v>
      </c>
      <c r="C65" s="52" t="s">
        <v>195</v>
      </c>
      <c r="D65" s="52" t="s">
        <v>1127</v>
      </c>
      <c r="E65" s="52" t="s">
        <v>1128</v>
      </c>
      <c r="F65" s="53" t="s">
        <v>268</v>
      </c>
    </row>
    <row r="66" spans="1:6" x14ac:dyDescent="0.3">
      <c r="A66" s="52" t="s">
        <v>254</v>
      </c>
      <c r="B66" s="53" t="s">
        <v>255</v>
      </c>
      <c r="C66" s="52" t="s">
        <v>151</v>
      </c>
      <c r="D66" s="52" t="s">
        <v>1129</v>
      </c>
      <c r="E66" s="52" t="s">
        <v>1130</v>
      </c>
      <c r="F66" s="53" t="s">
        <v>270</v>
      </c>
    </row>
    <row r="67" spans="1:6" x14ac:dyDescent="0.3">
      <c r="A67" s="52" t="s">
        <v>272</v>
      </c>
      <c r="B67" s="53" t="s">
        <v>273</v>
      </c>
      <c r="C67" s="52" t="s">
        <v>102</v>
      </c>
      <c r="D67" s="52" t="s">
        <v>1131</v>
      </c>
      <c r="E67" s="52" t="s">
        <v>1132</v>
      </c>
      <c r="F67" s="53" t="s">
        <v>274</v>
      </c>
    </row>
    <row r="68" spans="1:6" x14ac:dyDescent="0.3">
      <c r="A68" s="52" t="s">
        <v>272</v>
      </c>
      <c r="B68" s="53" t="s">
        <v>273</v>
      </c>
      <c r="C68" s="52" t="s">
        <v>130</v>
      </c>
      <c r="D68" s="52" t="s">
        <v>1133</v>
      </c>
      <c r="E68" s="52" t="s">
        <v>1134</v>
      </c>
      <c r="F68" s="53" t="s">
        <v>276</v>
      </c>
    </row>
    <row r="69" spans="1:6" x14ac:dyDescent="0.3">
      <c r="A69" s="52" t="s">
        <v>272</v>
      </c>
      <c r="B69" s="53" t="s">
        <v>273</v>
      </c>
      <c r="C69" s="52" t="s">
        <v>145</v>
      </c>
      <c r="D69" s="52" t="s">
        <v>1135</v>
      </c>
      <c r="E69" s="52" t="s">
        <v>1136</v>
      </c>
      <c r="F69" s="53" t="s">
        <v>278</v>
      </c>
    </row>
    <row r="70" spans="1:6" x14ac:dyDescent="0.3">
      <c r="A70" s="52" t="s">
        <v>272</v>
      </c>
      <c r="B70" s="53" t="s">
        <v>273</v>
      </c>
      <c r="C70" s="52" t="s">
        <v>189</v>
      </c>
      <c r="D70" s="52" t="s">
        <v>1137</v>
      </c>
      <c r="E70" s="52" t="s">
        <v>1138</v>
      </c>
      <c r="F70" s="53" t="s">
        <v>280</v>
      </c>
    </row>
    <row r="71" spans="1:6" x14ac:dyDescent="0.3">
      <c r="A71" s="52" t="s">
        <v>272</v>
      </c>
      <c r="B71" s="53" t="s">
        <v>273</v>
      </c>
      <c r="C71" s="52" t="s">
        <v>195</v>
      </c>
      <c r="D71" s="52" t="s">
        <v>1139</v>
      </c>
      <c r="E71" s="52" t="s">
        <v>1140</v>
      </c>
      <c r="F71" s="53" t="s">
        <v>282</v>
      </c>
    </row>
    <row r="72" spans="1:6" x14ac:dyDescent="0.3">
      <c r="A72" s="52" t="s">
        <v>272</v>
      </c>
      <c r="B72" s="53" t="s">
        <v>273</v>
      </c>
      <c r="C72" s="52" t="s">
        <v>151</v>
      </c>
      <c r="D72" s="52" t="s">
        <v>1141</v>
      </c>
      <c r="E72" s="52" t="s">
        <v>1142</v>
      </c>
      <c r="F72" s="53" t="s">
        <v>284</v>
      </c>
    </row>
    <row r="73" spans="1:6" x14ac:dyDescent="0.3">
      <c r="A73" s="52" t="s">
        <v>286</v>
      </c>
      <c r="B73" s="53" t="s">
        <v>287</v>
      </c>
      <c r="C73" s="52" t="s">
        <v>102</v>
      </c>
      <c r="D73" s="52" t="s">
        <v>1131</v>
      </c>
      <c r="E73" s="52" t="s">
        <v>1132</v>
      </c>
      <c r="F73" s="53" t="s">
        <v>274</v>
      </c>
    </row>
    <row r="74" spans="1:6" x14ac:dyDescent="0.3">
      <c r="A74" s="52" t="s">
        <v>286</v>
      </c>
      <c r="B74" s="53" t="s">
        <v>287</v>
      </c>
      <c r="C74" s="52" t="s">
        <v>130</v>
      </c>
      <c r="D74" s="52" t="s">
        <v>1133</v>
      </c>
      <c r="E74" s="52" t="s">
        <v>1134</v>
      </c>
      <c r="F74" s="53" t="s">
        <v>276</v>
      </c>
    </row>
    <row r="75" spans="1:6" x14ac:dyDescent="0.3">
      <c r="A75" s="52" t="s">
        <v>286</v>
      </c>
      <c r="B75" s="53" t="s">
        <v>287</v>
      </c>
      <c r="C75" s="52" t="s">
        <v>145</v>
      </c>
      <c r="D75" s="52" t="s">
        <v>1135</v>
      </c>
      <c r="E75" s="52" t="s">
        <v>1136</v>
      </c>
      <c r="F75" s="53" t="s">
        <v>278</v>
      </c>
    </row>
    <row r="76" spans="1:6" x14ac:dyDescent="0.3">
      <c r="A76" s="52" t="s">
        <v>286</v>
      </c>
      <c r="B76" s="53" t="s">
        <v>287</v>
      </c>
      <c r="C76" s="52" t="s">
        <v>189</v>
      </c>
      <c r="D76" s="52" t="s">
        <v>1137</v>
      </c>
      <c r="E76" s="52" t="s">
        <v>1138</v>
      </c>
      <c r="F76" s="53" t="s">
        <v>280</v>
      </c>
    </row>
    <row r="77" spans="1:6" x14ac:dyDescent="0.3">
      <c r="A77" s="52" t="s">
        <v>286</v>
      </c>
      <c r="B77" s="53" t="s">
        <v>287</v>
      </c>
      <c r="C77" s="52" t="s">
        <v>195</v>
      </c>
      <c r="D77" s="52" t="s">
        <v>1139</v>
      </c>
      <c r="E77" s="52" t="s">
        <v>1140</v>
      </c>
      <c r="F77" s="53" t="s">
        <v>282</v>
      </c>
    </row>
    <row r="78" spans="1:6" x14ac:dyDescent="0.3">
      <c r="A78" s="52" t="s">
        <v>286</v>
      </c>
      <c r="B78" s="53" t="s">
        <v>287</v>
      </c>
      <c r="C78" s="52" t="s">
        <v>151</v>
      </c>
      <c r="D78" s="52" t="s">
        <v>1141</v>
      </c>
      <c r="E78" s="52" t="s">
        <v>1142</v>
      </c>
      <c r="F78" s="53" t="s">
        <v>284</v>
      </c>
    </row>
    <row r="79" spans="1:6" x14ac:dyDescent="0.3">
      <c r="A79" s="52" t="s">
        <v>294</v>
      </c>
      <c r="B79" s="53" t="s">
        <v>295</v>
      </c>
      <c r="C79" s="52" t="s">
        <v>118</v>
      </c>
      <c r="D79" s="52" t="s">
        <v>1143</v>
      </c>
      <c r="E79" s="52" t="s">
        <v>1144</v>
      </c>
      <c r="F79" s="53" t="s">
        <v>296</v>
      </c>
    </row>
    <row r="80" spans="1:6" x14ac:dyDescent="0.3">
      <c r="A80" s="52" t="s">
        <v>294</v>
      </c>
      <c r="B80" s="53" t="s">
        <v>295</v>
      </c>
      <c r="C80" s="52" t="s">
        <v>133</v>
      </c>
      <c r="D80" s="52" t="s">
        <v>1145</v>
      </c>
      <c r="E80" s="52" t="s">
        <v>1146</v>
      </c>
      <c r="F80" s="53" t="s">
        <v>298</v>
      </c>
    </row>
    <row r="81" spans="1:6" x14ac:dyDescent="0.3">
      <c r="A81" s="52" t="s">
        <v>294</v>
      </c>
      <c r="B81" s="53" t="s">
        <v>295</v>
      </c>
      <c r="C81" s="52" t="s">
        <v>148</v>
      </c>
      <c r="D81" s="52" t="s">
        <v>1147</v>
      </c>
      <c r="E81" s="52" t="s">
        <v>1148</v>
      </c>
      <c r="F81" s="53" t="s">
        <v>300</v>
      </c>
    </row>
    <row r="82" spans="1:6" x14ac:dyDescent="0.3">
      <c r="A82" s="52" t="s">
        <v>294</v>
      </c>
      <c r="B82" s="53" t="s">
        <v>295</v>
      </c>
      <c r="C82" s="52" t="s">
        <v>195</v>
      </c>
      <c r="D82" s="52" t="s">
        <v>1149</v>
      </c>
      <c r="E82" s="52" t="s">
        <v>1150</v>
      </c>
      <c r="F82" s="53" t="s">
        <v>302</v>
      </c>
    </row>
    <row r="83" spans="1:6" x14ac:dyDescent="0.3">
      <c r="A83" s="52" t="s">
        <v>294</v>
      </c>
      <c r="B83" s="53" t="s">
        <v>295</v>
      </c>
      <c r="C83" s="52" t="s">
        <v>151</v>
      </c>
      <c r="D83" s="52" t="s">
        <v>1151</v>
      </c>
      <c r="E83" s="52" t="s">
        <v>1152</v>
      </c>
      <c r="F83" s="53" t="s">
        <v>304</v>
      </c>
    </row>
    <row r="84" spans="1:6" x14ac:dyDescent="0.3">
      <c r="A84" s="52" t="s">
        <v>306</v>
      </c>
      <c r="B84" s="53" t="s">
        <v>307</v>
      </c>
      <c r="C84" s="52" t="s">
        <v>121</v>
      </c>
      <c r="D84" s="52" t="s">
        <v>1153</v>
      </c>
      <c r="E84" s="52" t="s">
        <v>1154</v>
      </c>
      <c r="F84" s="53" t="s">
        <v>308</v>
      </c>
    </row>
    <row r="85" spans="1:6" x14ac:dyDescent="0.3">
      <c r="A85" s="52" t="s">
        <v>306</v>
      </c>
      <c r="B85" s="53" t="s">
        <v>307</v>
      </c>
      <c r="C85" s="52" t="s">
        <v>189</v>
      </c>
      <c r="D85" s="52" t="s">
        <v>1155</v>
      </c>
      <c r="E85" s="52" t="s">
        <v>1156</v>
      </c>
      <c r="F85" s="53" t="s">
        <v>310</v>
      </c>
    </row>
    <row r="86" spans="1:6" x14ac:dyDescent="0.3">
      <c r="A86" s="52" t="s">
        <v>306</v>
      </c>
      <c r="B86" s="53" t="s">
        <v>307</v>
      </c>
      <c r="C86" s="52" t="s">
        <v>195</v>
      </c>
      <c r="D86" s="52" t="s">
        <v>1157</v>
      </c>
      <c r="E86" s="52" t="s">
        <v>1158</v>
      </c>
      <c r="F86" s="53" t="s">
        <v>312</v>
      </c>
    </row>
    <row r="87" spans="1:6" x14ac:dyDescent="0.3">
      <c r="A87" s="52" t="s">
        <v>314</v>
      </c>
      <c r="B87" s="53" t="s">
        <v>315</v>
      </c>
      <c r="C87" s="52" t="s">
        <v>105</v>
      </c>
      <c r="D87" s="52" t="s">
        <v>1101</v>
      </c>
      <c r="E87" s="52" t="s">
        <v>1102</v>
      </c>
      <c r="F87" s="53" t="s">
        <v>239</v>
      </c>
    </row>
    <row r="88" spans="1:6" x14ac:dyDescent="0.3">
      <c r="A88" s="52" t="s">
        <v>314</v>
      </c>
      <c r="B88" s="53" t="s">
        <v>315</v>
      </c>
      <c r="C88" s="52" t="s">
        <v>118</v>
      </c>
      <c r="D88" s="52" t="s">
        <v>1159</v>
      </c>
      <c r="E88" s="52" t="s">
        <v>1160</v>
      </c>
      <c r="F88" s="53" t="s">
        <v>317</v>
      </c>
    </row>
    <row r="89" spans="1:6" x14ac:dyDescent="0.3">
      <c r="A89" s="52" t="s">
        <v>314</v>
      </c>
      <c r="B89" s="53" t="s">
        <v>315</v>
      </c>
      <c r="C89" s="52" t="s">
        <v>121</v>
      </c>
      <c r="D89" s="52" t="s">
        <v>1161</v>
      </c>
      <c r="E89" s="52" t="s">
        <v>1162</v>
      </c>
      <c r="F89" s="53" t="s">
        <v>319</v>
      </c>
    </row>
    <row r="90" spans="1:6" x14ac:dyDescent="0.3">
      <c r="A90" s="52" t="s">
        <v>314</v>
      </c>
      <c r="B90" s="53" t="s">
        <v>315</v>
      </c>
      <c r="C90" s="52" t="s">
        <v>243</v>
      </c>
      <c r="D90" s="52" t="s">
        <v>1105</v>
      </c>
      <c r="E90" s="52" t="s">
        <v>1106</v>
      </c>
      <c r="F90" s="53" t="s">
        <v>321</v>
      </c>
    </row>
    <row r="91" spans="1:6" x14ac:dyDescent="0.3">
      <c r="A91" s="52" t="s">
        <v>314</v>
      </c>
      <c r="B91" s="53" t="s">
        <v>315</v>
      </c>
      <c r="C91" s="52" t="s">
        <v>211</v>
      </c>
      <c r="D91" s="52" t="s">
        <v>1163</v>
      </c>
      <c r="E91" s="52" t="s">
        <v>1164</v>
      </c>
      <c r="F91" s="53" t="s">
        <v>323</v>
      </c>
    </row>
    <row r="92" spans="1:6" x14ac:dyDescent="0.3">
      <c r="A92" s="52" t="s">
        <v>314</v>
      </c>
      <c r="B92" s="53" t="s">
        <v>315</v>
      </c>
      <c r="C92" s="52" t="s">
        <v>133</v>
      </c>
      <c r="D92" s="52" t="s">
        <v>1165</v>
      </c>
      <c r="E92" s="52" t="s">
        <v>1166</v>
      </c>
      <c r="F92" s="53" t="s">
        <v>325</v>
      </c>
    </row>
    <row r="93" spans="1:6" x14ac:dyDescent="0.3">
      <c r="A93" s="52" t="s">
        <v>314</v>
      </c>
      <c r="B93" s="53" t="s">
        <v>315</v>
      </c>
      <c r="C93" s="52" t="s">
        <v>160</v>
      </c>
      <c r="D93" s="52" t="s">
        <v>1167</v>
      </c>
      <c r="E93" s="52" t="s">
        <v>1168</v>
      </c>
      <c r="F93" s="53" t="s">
        <v>327</v>
      </c>
    </row>
    <row r="94" spans="1:6" x14ac:dyDescent="0.3">
      <c r="A94" s="52" t="s">
        <v>314</v>
      </c>
      <c r="B94" s="53" t="s">
        <v>315</v>
      </c>
      <c r="C94" s="52" t="s">
        <v>139</v>
      </c>
      <c r="D94" s="52" t="s">
        <v>1169</v>
      </c>
      <c r="E94" s="52" t="s">
        <v>1170</v>
      </c>
      <c r="F94" s="53" t="s">
        <v>329</v>
      </c>
    </row>
    <row r="95" spans="1:6" x14ac:dyDescent="0.3">
      <c r="A95" s="52" t="s">
        <v>314</v>
      </c>
      <c r="B95" s="53" t="s">
        <v>315</v>
      </c>
      <c r="C95" s="52" t="s">
        <v>163</v>
      </c>
      <c r="D95" s="52" t="s">
        <v>1171</v>
      </c>
      <c r="E95" s="52" t="s">
        <v>1172</v>
      </c>
      <c r="F95" s="53" t="s">
        <v>331</v>
      </c>
    </row>
    <row r="96" spans="1:6" x14ac:dyDescent="0.3">
      <c r="A96" s="52" t="s">
        <v>314</v>
      </c>
      <c r="B96" s="53" t="s">
        <v>315</v>
      </c>
      <c r="C96" s="52" t="s">
        <v>168</v>
      </c>
      <c r="D96" s="52" t="s">
        <v>1173</v>
      </c>
      <c r="E96" s="52" t="s">
        <v>1174</v>
      </c>
      <c r="F96" s="53" t="s">
        <v>333</v>
      </c>
    </row>
    <row r="97" spans="1:6" x14ac:dyDescent="0.3">
      <c r="A97" s="52" t="s">
        <v>314</v>
      </c>
      <c r="B97" s="53" t="s">
        <v>315</v>
      </c>
      <c r="C97" s="52" t="s">
        <v>189</v>
      </c>
      <c r="D97" s="52" t="s">
        <v>1175</v>
      </c>
      <c r="E97" s="52" t="s">
        <v>1176</v>
      </c>
      <c r="F97" s="53" t="s">
        <v>335</v>
      </c>
    </row>
    <row r="98" spans="1:6" x14ac:dyDescent="0.3">
      <c r="A98" s="52" t="s">
        <v>314</v>
      </c>
      <c r="B98" s="53" t="s">
        <v>315</v>
      </c>
      <c r="C98" s="52" t="s">
        <v>192</v>
      </c>
      <c r="D98" s="52" t="s">
        <v>1177</v>
      </c>
      <c r="E98" s="52" t="s">
        <v>1178</v>
      </c>
      <c r="F98" s="53" t="s">
        <v>337</v>
      </c>
    </row>
    <row r="99" spans="1:6" x14ac:dyDescent="0.3">
      <c r="A99" s="52" t="s">
        <v>314</v>
      </c>
      <c r="B99" s="53" t="s">
        <v>315</v>
      </c>
      <c r="C99" s="52" t="s">
        <v>151</v>
      </c>
      <c r="D99" s="52" t="s">
        <v>1179</v>
      </c>
      <c r="E99" s="52" t="s">
        <v>1180</v>
      </c>
      <c r="F99" s="53" t="s">
        <v>339</v>
      </c>
    </row>
    <row r="100" spans="1:6" x14ac:dyDescent="0.3">
      <c r="A100" s="52" t="s">
        <v>341</v>
      </c>
      <c r="B100" s="53" t="s">
        <v>342</v>
      </c>
      <c r="C100" s="52" t="s">
        <v>105</v>
      </c>
      <c r="D100" s="52" t="s">
        <v>1101</v>
      </c>
      <c r="E100" s="52" t="s">
        <v>1102</v>
      </c>
      <c r="F100" s="53" t="s">
        <v>239</v>
      </c>
    </row>
    <row r="101" spans="1:6" x14ac:dyDescent="0.3">
      <c r="A101" s="52" t="s">
        <v>341</v>
      </c>
      <c r="B101" s="53" t="s">
        <v>342</v>
      </c>
      <c r="C101" s="52" t="s">
        <v>127</v>
      </c>
      <c r="D101" s="52" t="s">
        <v>1103</v>
      </c>
      <c r="E101" s="52" t="s">
        <v>1104</v>
      </c>
      <c r="F101" s="53" t="s">
        <v>241</v>
      </c>
    </row>
    <row r="102" spans="1:6" x14ac:dyDescent="0.3">
      <c r="A102" s="52" t="s">
        <v>341</v>
      </c>
      <c r="B102" s="53" t="s">
        <v>342</v>
      </c>
      <c r="C102" s="52" t="s">
        <v>243</v>
      </c>
      <c r="D102" s="52" t="s">
        <v>1105</v>
      </c>
      <c r="E102" s="52" t="s">
        <v>1106</v>
      </c>
      <c r="F102" s="53" t="s">
        <v>244</v>
      </c>
    </row>
    <row r="103" spans="1:6" x14ac:dyDescent="0.3">
      <c r="A103" s="52" t="s">
        <v>341</v>
      </c>
      <c r="B103" s="53" t="s">
        <v>342</v>
      </c>
      <c r="C103" s="52" t="s">
        <v>139</v>
      </c>
      <c r="D103" s="52" t="s">
        <v>1107</v>
      </c>
      <c r="E103" s="52" t="s">
        <v>1108</v>
      </c>
      <c r="F103" s="53" t="s">
        <v>346</v>
      </c>
    </row>
    <row r="104" spans="1:6" x14ac:dyDescent="0.3">
      <c r="A104" s="52" t="s">
        <v>341</v>
      </c>
      <c r="B104" s="53" t="s">
        <v>342</v>
      </c>
      <c r="C104" s="52" t="s">
        <v>145</v>
      </c>
      <c r="D104" s="52" t="s">
        <v>1109</v>
      </c>
      <c r="E104" s="52" t="s">
        <v>1110</v>
      </c>
      <c r="F104" s="53" t="s">
        <v>248</v>
      </c>
    </row>
    <row r="105" spans="1:6" x14ac:dyDescent="0.3">
      <c r="A105" s="52" t="s">
        <v>341</v>
      </c>
      <c r="B105" s="53" t="s">
        <v>342</v>
      </c>
      <c r="C105" s="52" t="s">
        <v>189</v>
      </c>
      <c r="D105" s="52" t="s">
        <v>1111</v>
      </c>
      <c r="E105" s="52" t="s">
        <v>1112</v>
      </c>
      <c r="F105" s="53" t="s">
        <v>250</v>
      </c>
    </row>
    <row r="106" spans="1:6" x14ac:dyDescent="0.3">
      <c r="A106" s="52" t="s">
        <v>341</v>
      </c>
      <c r="B106" s="53" t="s">
        <v>342</v>
      </c>
      <c r="C106" s="52" t="s">
        <v>148</v>
      </c>
      <c r="D106" s="52" t="s">
        <v>1113</v>
      </c>
      <c r="E106" s="52" t="s">
        <v>1114</v>
      </c>
      <c r="F106" s="53" t="s">
        <v>252</v>
      </c>
    </row>
    <row r="107" spans="1:6" x14ac:dyDescent="0.3">
      <c r="A107" s="52" t="s">
        <v>351</v>
      </c>
      <c r="B107" s="53" t="s">
        <v>352</v>
      </c>
      <c r="C107" s="52" t="s">
        <v>142</v>
      </c>
      <c r="D107" s="52" t="s">
        <v>1181</v>
      </c>
      <c r="E107" s="52" t="s">
        <v>1182</v>
      </c>
      <c r="F107" s="53" t="s">
        <v>353</v>
      </c>
    </row>
    <row r="108" spans="1:6" x14ac:dyDescent="0.3">
      <c r="A108" s="52" t="s">
        <v>351</v>
      </c>
      <c r="B108" s="53" t="s">
        <v>352</v>
      </c>
      <c r="C108" s="52" t="s">
        <v>145</v>
      </c>
      <c r="D108" s="52" t="s">
        <v>1183</v>
      </c>
      <c r="E108" s="52" t="s">
        <v>1184</v>
      </c>
      <c r="F108" s="53" t="s">
        <v>355</v>
      </c>
    </row>
    <row r="109" spans="1:6" x14ac:dyDescent="0.3">
      <c r="A109" s="52" t="s">
        <v>351</v>
      </c>
      <c r="B109" s="53" t="s">
        <v>352</v>
      </c>
      <c r="C109" s="52" t="s">
        <v>148</v>
      </c>
      <c r="D109" s="52" t="s">
        <v>1185</v>
      </c>
      <c r="E109" s="52" t="s">
        <v>1186</v>
      </c>
      <c r="F109" s="53" t="s">
        <v>357</v>
      </c>
    </row>
    <row r="110" spans="1:6" x14ac:dyDescent="0.3">
      <c r="A110" s="52" t="s">
        <v>351</v>
      </c>
      <c r="B110" s="53" t="s">
        <v>352</v>
      </c>
      <c r="C110" s="52" t="s">
        <v>151</v>
      </c>
      <c r="D110" s="52" t="s">
        <v>1187</v>
      </c>
      <c r="E110" s="52" t="s">
        <v>1188</v>
      </c>
      <c r="F110" s="53" t="s">
        <v>359</v>
      </c>
    </row>
    <row r="111" spans="1:6" x14ac:dyDescent="0.3">
      <c r="A111" s="52" t="s">
        <v>361</v>
      </c>
      <c r="B111" s="53" t="s">
        <v>362</v>
      </c>
      <c r="C111" s="52" t="s">
        <v>105</v>
      </c>
      <c r="D111" s="52" t="s">
        <v>1189</v>
      </c>
      <c r="E111" s="52" t="s">
        <v>1190</v>
      </c>
      <c r="F111" s="53" t="s">
        <v>363</v>
      </c>
    </row>
    <row r="112" spans="1:6" x14ac:dyDescent="0.3">
      <c r="A112" s="52" t="s">
        <v>361</v>
      </c>
      <c r="B112" s="53" t="s">
        <v>362</v>
      </c>
      <c r="C112" s="52" t="s">
        <v>243</v>
      </c>
      <c r="D112" s="52" t="s">
        <v>1191</v>
      </c>
      <c r="E112" s="52" t="s">
        <v>1192</v>
      </c>
      <c r="F112" s="53" t="s">
        <v>365</v>
      </c>
    </row>
    <row r="113" spans="1:6" x14ac:dyDescent="0.3">
      <c r="A113" s="52" t="s">
        <v>361</v>
      </c>
      <c r="B113" s="53" t="s">
        <v>362</v>
      </c>
      <c r="C113" s="52" t="s">
        <v>211</v>
      </c>
      <c r="D113" s="52" t="s">
        <v>1193</v>
      </c>
      <c r="E113" s="52" t="s">
        <v>1194</v>
      </c>
      <c r="F113" s="53" t="s">
        <v>367</v>
      </c>
    </row>
    <row r="114" spans="1:6" x14ac:dyDescent="0.3">
      <c r="A114" s="52" t="s">
        <v>361</v>
      </c>
      <c r="B114" s="53" t="s">
        <v>362</v>
      </c>
      <c r="C114" s="52" t="s">
        <v>133</v>
      </c>
      <c r="D114" s="52" t="s">
        <v>1195</v>
      </c>
      <c r="E114" s="52" t="s">
        <v>1196</v>
      </c>
      <c r="F114" s="53" t="s">
        <v>369</v>
      </c>
    </row>
    <row r="115" spans="1:6" x14ac:dyDescent="0.3">
      <c r="A115" s="52" t="s">
        <v>371</v>
      </c>
      <c r="B115" s="53" t="s">
        <v>372</v>
      </c>
      <c r="C115" s="52" t="s">
        <v>105</v>
      </c>
      <c r="D115" s="52" t="s">
        <v>1101</v>
      </c>
      <c r="E115" s="52" t="s">
        <v>1102</v>
      </c>
      <c r="F115" s="53" t="s">
        <v>239</v>
      </c>
    </row>
    <row r="116" spans="1:6" x14ac:dyDescent="0.3">
      <c r="A116" s="52" t="s">
        <v>371</v>
      </c>
      <c r="B116" s="53" t="s">
        <v>372</v>
      </c>
      <c r="C116" s="52" t="s">
        <v>108</v>
      </c>
      <c r="D116" s="52" t="s">
        <v>1197</v>
      </c>
      <c r="E116" s="52" t="s">
        <v>1198</v>
      </c>
      <c r="F116" s="53" t="s">
        <v>374</v>
      </c>
    </row>
    <row r="117" spans="1:6" x14ac:dyDescent="0.3">
      <c r="A117" s="52" t="s">
        <v>371</v>
      </c>
      <c r="B117" s="53" t="s">
        <v>372</v>
      </c>
      <c r="C117" s="52" t="s">
        <v>127</v>
      </c>
      <c r="D117" s="52" t="s">
        <v>1103</v>
      </c>
      <c r="E117" s="52" t="s">
        <v>1104</v>
      </c>
      <c r="F117" s="53" t="s">
        <v>241</v>
      </c>
    </row>
    <row r="118" spans="1:6" x14ac:dyDescent="0.3">
      <c r="A118" s="52" t="s">
        <v>371</v>
      </c>
      <c r="B118" s="53" t="s">
        <v>372</v>
      </c>
      <c r="C118" s="52" t="s">
        <v>243</v>
      </c>
      <c r="D118" s="52" t="s">
        <v>1105</v>
      </c>
      <c r="E118" s="52" t="s">
        <v>1106</v>
      </c>
      <c r="F118" s="53" t="s">
        <v>321</v>
      </c>
    </row>
    <row r="119" spans="1:6" x14ac:dyDescent="0.3">
      <c r="A119" s="52" t="s">
        <v>371</v>
      </c>
      <c r="B119" s="53" t="s">
        <v>372</v>
      </c>
      <c r="C119" s="52" t="s">
        <v>211</v>
      </c>
      <c r="D119" s="52" t="s">
        <v>1163</v>
      </c>
      <c r="E119" s="52" t="s">
        <v>1164</v>
      </c>
      <c r="F119" s="53" t="s">
        <v>323</v>
      </c>
    </row>
    <row r="120" spans="1:6" x14ac:dyDescent="0.3">
      <c r="A120" s="52" t="s">
        <v>371</v>
      </c>
      <c r="B120" s="53" t="s">
        <v>372</v>
      </c>
      <c r="C120" s="52" t="s">
        <v>130</v>
      </c>
      <c r="D120" s="52" t="s">
        <v>1199</v>
      </c>
      <c r="E120" s="52" t="s">
        <v>1200</v>
      </c>
      <c r="F120" s="53" t="s">
        <v>379</v>
      </c>
    </row>
    <row r="121" spans="1:6" x14ac:dyDescent="0.3">
      <c r="A121" s="52" t="s">
        <v>371</v>
      </c>
      <c r="B121" s="53" t="s">
        <v>372</v>
      </c>
      <c r="C121" s="52" t="s">
        <v>142</v>
      </c>
      <c r="D121" s="52" t="s">
        <v>1201</v>
      </c>
      <c r="E121" s="52" t="s">
        <v>1202</v>
      </c>
      <c r="F121" s="53" t="s">
        <v>381</v>
      </c>
    </row>
    <row r="122" spans="1:6" x14ac:dyDescent="0.3">
      <c r="A122" s="52" t="s">
        <v>371</v>
      </c>
      <c r="B122" s="53" t="s">
        <v>372</v>
      </c>
      <c r="C122" s="52" t="s">
        <v>148</v>
      </c>
      <c r="D122" s="52" t="s">
        <v>1113</v>
      </c>
      <c r="E122" s="52" t="s">
        <v>1114</v>
      </c>
      <c r="F122" s="53" t="s">
        <v>383</v>
      </c>
    </row>
    <row r="123" spans="1:6" x14ac:dyDescent="0.3">
      <c r="A123" s="52" t="s">
        <v>371</v>
      </c>
      <c r="B123" s="53" t="s">
        <v>372</v>
      </c>
      <c r="C123" s="52" t="s">
        <v>195</v>
      </c>
      <c r="D123" s="52" t="s">
        <v>1203</v>
      </c>
      <c r="E123" s="52" t="s">
        <v>1204</v>
      </c>
      <c r="F123" s="53" t="s">
        <v>385</v>
      </c>
    </row>
    <row r="124" spans="1:6" x14ac:dyDescent="0.3">
      <c r="A124" s="52" t="s">
        <v>371</v>
      </c>
      <c r="B124" s="53" t="s">
        <v>372</v>
      </c>
      <c r="C124" s="52" t="s">
        <v>220</v>
      </c>
      <c r="D124" s="52" t="s">
        <v>1205</v>
      </c>
      <c r="E124" s="52" t="s">
        <v>1206</v>
      </c>
      <c r="F124" s="53" t="s">
        <v>387</v>
      </c>
    </row>
    <row r="125" spans="1:6" x14ac:dyDescent="0.3">
      <c r="A125" s="52" t="s">
        <v>389</v>
      </c>
      <c r="B125" s="53" t="s">
        <v>390</v>
      </c>
      <c r="C125" s="52" t="s">
        <v>124</v>
      </c>
      <c r="D125" s="52" t="s">
        <v>1207</v>
      </c>
      <c r="E125" s="52" t="s">
        <v>1208</v>
      </c>
      <c r="F125" s="53" t="s">
        <v>391</v>
      </c>
    </row>
    <row r="126" spans="1:6" x14ac:dyDescent="0.3">
      <c r="A126" s="52" t="s">
        <v>389</v>
      </c>
      <c r="B126" s="53" t="s">
        <v>390</v>
      </c>
      <c r="C126" s="52" t="s">
        <v>393</v>
      </c>
      <c r="D126" s="52" t="s">
        <v>1209</v>
      </c>
      <c r="E126" s="52" t="s">
        <v>1210</v>
      </c>
      <c r="F126" s="53" t="s">
        <v>394</v>
      </c>
    </row>
    <row r="127" spans="1:6" x14ac:dyDescent="0.3">
      <c r="A127" s="52" t="s">
        <v>389</v>
      </c>
      <c r="B127" s="53" t="s">
        <v>390</v>
      </c>
      <c r="C127" s="52" t="s">
        <v>396</v>
      </c>
      <c r="D127" s="52" t="s">
        <v>1211</v>
      </c>
      <c r="E127" s="52" t="s">
        <v>1212</v>
      </c>
      <c r="F127" s="53" t="s">
        <v>397</v>
      </c>
    </row>
    <row r="128" spans="1:6" x14ac:dyDescent="0.3">
      <c r="A128" s="52" t="s">
        <v>399</v>
      </c>
      <c r="B128" s="53" t="s">
        <v>400</v>
      </c>
      <c r="C128" s="52" t="s">
        <v>108</v>
      </c>
      <c r="D128" s="52" t="s">
        <v>1213</v>
      </c>
      <c r="E128" s="52" t="s">
        <v>1214</v>
      </c>
      <c r="F128" s="53" t="s">
        <v>401</v>
      </c>
    </row>
    <row r="129" spans="1:6" x14ac:dyDescent="0.3">
      <c r="A129" s="52" t="s">
        <v>399</v>
      </c>
      <c r="B129" s="53" t="s">
        <v>400</v>
      </c>
      <c r="C129" s="52" t="s">
        <v>121</v>
      </c>
      <c r="D129" s="52" t="s">
        <v>1215</v>
      </c>
      <c r="E129" s="52" t="s">
        <v>1216</v>
      </c>
      <c r="F129" s="53" t="s">
        <v>403</v>
      </c>
    </row>
    <row r="130" spans="1:6" x14ac:dyDescent="0.3">
      <c r="A130" s="52" t="s">
        <v>399</v>
      </c>
      <c r="B130" s="53" t="s">
        <v>400</v>
      </c>
      <c r="C130" s="52" t="s">
        <v>124</v>
      </c>
      <c r="D130" s="52" t="s">
        <v>1217</v>
      </c>
      <c r="E130" s="52" t="s">
        <v>1218</v>
      </c>
      <c r="F130" s="53" t="s">
        <v>405</v>
      </c>
    </row>
    <row r="131" spans="1:6" x14ac:dyDescent="0.3">
      <c r="A131" s="52" t="s">
        <v>399</v>
      </c>
      <c r="B131" s="53" t="s">
        <v>400</v>
      </c>
      <c r="C131" s="52" t="s">
        <v>127</v>
      </c>
      <c r="D131" s="52" t="s">
        <v>1219</v>
      </c>
      <c r="E131" s="52" t="s">
        <v>1220</v>
      </c>
      <c r="F131" s="53" t="s">
        <v>407</v>
      </c>
    </row>
    <row r="132" spans="1:6" x14ac:dyDescent="0.3">
      <c r="A132" s="52" t="s">
        <v>399</v>
      </c>
      <c r="B132" s="53" t="s">
        <v>400</v>
      </c>
      <c r="C132" s="52" t="s">
        <v>243</v>
      </c>
      <c r="D132" s="52" t="s">
        <v>1221</v>
      </c>
      <c r="E132" s="52" t="s">
        <v>1222</v>
      </c>
      <c r="F132" s="53" t="s">
        <v>409</v>
      </c>
    </row>
    <row r="133" spans="1:6" x14ac:dyDescent="0.3">
      <c r="A133" s="52" t="s">
        <v>399</v>
      </c>
      <c r="B133" s="53" t="s">
        <v>400</v>
      </c>
      <c r="C133" s="52" t="s">
        <v>211</v>
      </c>
      <c r="D133" s="52" t="s">
        <v>1223</v>
      </c>
      <c r="E133" s="52" t="s">
        <v>1224</v>
      </c>
      <c r="F133" s="53" t="s">
        <v>411</v>
      </c>
    </row>
    <row r="134" spans="1:6" x14ac:dyDescent="0.3">
      <c r="A134" s="52" t="s">
        <v>399</v>
      </c>
      <c r="B134" s="53" t="s">
        <v>400</v>
      </c>
      <c r="C134" s="52" t="s">
        <v>139</v>
      </c>
      <c r="D134" s="52" t="s">
        <v>1225</v>
      </c>
      <c r="E134" s="52" t="s">
        <v>1226</v>
      </c>
      <c r="F134" s="53" t="s">
        <v>413</v>
      </c>
    </row>
    <row r="135" spans="1:6" x14ac:dyDescent="0.3">
      <c r="A135" s="52" t="s">
        <v>399</v>
      </c>
      <c r="B135" s="53" t="s">
        <v>400</v>
      </c>
      <c r="C135" s="52" t="s">
        <v>163</v>
      </c>
      <c r="D135" s="52" t="s">
        <v>1227</v>
      </c>
      <c r="E135" s="52" t="s">
        <v>1228</v>
      </c>
      <c r="F135" s="53" t="s">
        <v>415</v>
      </c>
    </row>
    <row r="136" spans="1:6" x14ac:dyDescent="0.3">
      <c r="A136" s="52" t="s">
        <v>399</v>
      </c>
      <c r="B136" s="53" t="s">
        <v>400</v>
      </c>
      <c r="C136" s="52" t="s">
        <v>220</v>
      </c>
      <c r="D136" s="52" t="s">
        <v>1229</v>
      </c>
      <c r="E136" s="52" t="s">
        <v>1230</v>
      </c>
      <c r="F136" s="53" t="s">
        <v>417</v>
      </c>
    </row>
    <row r="137" spans="1:6" x14ac:dyDescent="0.3">
      <c r="A137" s="52" t="s">
        <v>399</v>
      </c>
      <c r="B137" s="53" t="s">
        <v>400</v>
      </c>
      <c r="C137" s="52" t="s">
        <v>419</v>
      </c>
      <c r="D137" s="52" t="s">
        <v>1231</v>
      </c>
      <c r="E137" s="52" t="s">
        <v>1232</v>
      </c>
      <c r="F137" s="53" t="s">
        <v>420</v>
      </c>
    </row>
    <row r="138" spans="1:6" x14ac:dyDescent="0.3">
      <c r="A138" s="52" t="s">
        <v>422</v>
      </c>
      <c r="B138" s="53" t="s">
        <v>423</v>
      </c>
      <c r="C138" s="52" t="s">
        <v>108</v>
      </c>
      <c r="D138" s="52" t="s">
        <v>1233</v>
      </c>
      <c r="E138" s="52" t="s">
        <v>1234</v>
      </c>
      <c r="F138" s="53" t="s">
        <v>424</v>
      </c>
    </row>
    <row r="139" spans="1:6" x14ac:dyDescent="0.3">
      <c r="A139" s="52" t="s">
        <v>422</v>
      </c>
      <c r="B139" s="53" t="s">
        <v>423</v>
      </c>
      <c r="C139" s="52" t="s">
        <v>121</v>
      </c>
      <c r="D139" s="52" t="s">
        <v>1235</v>
      </c>
      <c r="E139" s="52" t="s">
        <v>1236</v>
      </c>
      <c r="F139" s="53" t="s">
        <v>426</v>
      </c>
    </row>
    <row r="140" spans="1:6" x14ac:dyDescent="0.3">
      <c r="A140" s="52" t="s">
        <v>422</v>
      </c>
      <c r="B140" s="53" t="s">
        <v>423</v>
      </c>
      <c r="C140" s="52" t="s">
        <v>127</v>
      </c>
      <c r="D140" s="52" t="s">
        <v>1237</v>
      </c>
      <c r="E140" s="52" t="s">
        <v>1238</v>
      </c>
      <c r="F140" s="53" t="s">
        <v>428</v>
      </c>
    </row>
    <row r="141" spans="1:6" x14ac:dyDescent="0.3">
      <c r="A141" s="52" t="s">
        <v>422</v>
      </c>
      <c r="B141" s="53" t="s">
        <v>423</v>
      </c>
      <c r="C141" s="52" t="s">
        <v>243</v>
      </c>
      <c r="D141" s="52" t="s">
        <v>1239</v>
      </c>
      <c r="E141" s="52" t="s">
        <v>1240</v>
      </c>
      <c r="F141" s="53" t="s">
        <v>430</v>
      </c>
    </row>
    <row r="142" spans="1:6" x14ac:dyDescent="0.3">
      <c r="A142" s="52" t="s">
        <v>422</v>
      </c>
      <c r="B142" s="53" t="s">
        <v>423</v>
      </c>
      <c r="C142" s="52" t="s">
        <v>133</v>
      </c>
      <c r="D142" s="52" t="s">
        <v>1241</v>
      </c>
      <c r="E142" s="52" t="s">
        <v>1242</v>
      </c>
      <c r="F142" s="53" t="s">
        <v>432</v>
      </c>
    </row>
    <row r="143" spans="1:6" x14ac:dyDescent="0.3">
      <c r="A143" s="52" t="s">
        <v>422</v>
      </c>
      <c r="B143" s="53" t="s">
        <v>423</v>
      </c>
      <c r="C143" s="52" t="s">
        <v>160</v>
      </c>
      <c r="D143" s="52" t="s">
        <v>1243</v>
      </c>
      <c r="E143" s="52" t="s">
        <v>1244</v>
      </c>
      <c r="F143" s="53" t="s">
        <v>434</v>
      </c>
    </row>
    <row r="144" spans="1:6" x14ac:dyDescent="0.3">
      <c r="A144" s="52" t="s">
        <v>422</v>
      </c>
      <c r="B144" s="53" t="s">
        <v>423</v>
      </c>
      <c r="C144" s="52" t="s">
        <v>168</v>
      </c>
      <c r="D144" s="52" t="s">
        <v>1245</v>
      </c>
      <c r="E144" s="52" t="s">
        <v>1246</v>
      </c>
      <c r="F144" s="53" t="s">
        <v>436</v>
      </c>
    </row>
    <row r="145" spans="1:6" x14ac:dyDescent="0.3">
      <c r="A145" s="52" t="s">
        <v>422</v>
      </c>
      <c r="B145" s="53" t="s">
        <v>423</v>
      </c>
      <c r="C145" s="52" t="s">
        <v>189</v>
      </c>
      <c r="D145" s="52" t="s">
        <v>1247</v>
      </c>
      <c r="E145" s="52" t="s">
        <v>1248</v>
      </c>
      <c r="F145" s="53" t="s">
        <v>438</v>
      </c>
    </row>
    <row r="146" spans="1:6" x14ac:dyDescent="0.3">
      <c r="A146" s="52" t="s">
        <v>422</v>
      </c>
      <c r="B146" s="53" t="s">
        <v>423</v>
      </c>
      <c r="C146" s="52" t="s">
        <v>195</v>
      </c>
      <c r="D146" s="52" t="s">
        <v>1249</v>
      </c>
      <c r="E146" s="52" t="s">
        <v>1250</v>
      </c>
      <c r="F146" s="53" t="s">
        <v>440</v>
      </c>
    </row>
    <row r="147" spans="1:6" x14ac:dyDescent="0.3">
      <c r="A147" s="52" t="s">
        <v>422</v>
      </c>
      <c r="B147" s="53" t="s">
        <v>423</v>
      </c>
      <c r="C147" s="52" t="s">
        <v>220</v>
      </c>
      <c r="D147" s="52" t="s">
        <v>1251</v>
      </c>
      <c r="E147" s="52" t="s">
        <v>1252</v>
      </c>
      <c r="F147" s="53" t="s">
        <v>442</v>
      </c>
    </row>
    <row r="148" spans="1:6" x14ac:dyDescent="0.3">
      <c r="A148" s="52" t="s">
        <v>422</v>
      </c>
      <c r="B148" s="53" t="s">
        <v>423</v>
      </c>
      <c r="C148" s="52" t="s">
        <v>419</v>
      </c>
      <c r="D148" s="52" t="s">
        <v>1253</v>
      </c>
      <c r="E148" s="52" t="s">
        <v>1254</v>
      </c>
      <c r="F148" s="53" t="s">
        <v>444</v>
      </c>
    </row>
    <row r="149" spans="1:6" x14ac:dyDescent="0.3">
      <c r="A149" s="52" t="s">
        <v>446</v>
      </c>
      <c r="B149" s="53" t="s">
        <v>447</v>
      </c>
      <c r="C149" s="52" t="s">
        <v>121</v>
      </c>
      <c r="D149" s="52" t="s">
        <v>1255</v>
      </c>
      <c r="E149" s="52" t="s">
        <v>1256</v>
      </c>
      <c r="F149" s="53" t="s">
        <v>448</v>
      </c>
    </row>
    <row r="150" spans="1:6" x14ac:dyDescent="0.3">
      <c r="A150" s="52" t="s">
        <v>446</v>
      </c>
      <c r="B150" s="53" t="s">
        <v>447</v>
      </c>
      <c r="C150" s="52" t="s">
        <v>142</v>
      </c>
      <c r="D150" s="52" t="s">
        <v>1257</v>
      </c>
      <c r="E150" s="52" t="s">
        <v>1258</v>
      </c>
      <c r="F150" s="53" t="s">
        <v>450</v>
      </c>
    </row>
    <row r="151" spans="1:6" x14ac:dyDescent="0.3">
      <c r="A151" s="52" t="s">
        <v>446</v>
      </c>
      <c r="B151" s="53" t="s">
        <v>447</v>
      </c>
      <c r="C151" s="52" t="s">
        <v>189</v>
      </c>
      <c r="D151" s="52" t="s">
        <v>1259</v>
      </c>
      <c r="E151" s="52" t="s">
        <v>1260</v>
      </c>
      <c r="F151" s="53" t="s">
        <v>452</v>
      </c>
    </row>
    <row r="152" spans="1:6" x14ac:dyDescent="0.3">
      <c r="A152" s="52" t="s">
        <v>446</v>
      </c>
      <c r="B152" s="53" t="s">
        <v>447</v>
      </c>
      <c r="C152" s="52" t="s">
        <v>195</v>
      </c>
      <c r="D152" s="52" t="s">
        <v>1261</v>
      </c>
      <c r="E152" s="52" t="s">
        <v>1262</v>
      </c>
      <c r="F152" s="53" t="s">
        <v>454</v>
      </c>
    </row>
    <row r="153" spans="1:6" x14ac:dyDescent="0.3">
      <c r="A153" s="52" t="s">
        <v>456</v>
      </c>
      <c r="B153" s="53" t="s">
        <v>457</v>
      </c>
      <c r="C153" s="52" t="s">
        <v>102</v>
      </c>
      <c r="D153" s="52" t="s">
        <v>1263</v>
      </c>
      <c r="E153" s="52" t="s">
        <v>1264</v>
      </c>
      <c r="F153" s="53" t="s">
        <v>102</v>
      </c>
    </row>
    <row r="154" spans="1:6" x14ac:dyDescent="0.3">
      <c r="A154" s="52" t="s">
        <v>456</v>
      </c>
      <c r="B154" s="53" t="s">
        <v>457</v>
      </c>
      <c r="C154" s="52" t="s">
        <v>118</v>
      </c>
      <c r="D154" s="52" t="s">
        <v>1265</v>
      </c>
      <c r="E154" s="52" t="s">
        <v>1266</v>
      </c>
      <c r="F154" s="53" t="s">
        <v>118</v>
      </c>
    </row>
    <row r="155" spans="1:6" x14ac:dyDescent="0.3">
      <c r="A155" s="52" t="s">
        <v>456</v>
      </c>
      <c r="B155" s="53" t="s">
        <v>457</v>
      </c>
      <c r="C155" s="52" t="s">
        <v>130</v>
      </c>
      <c r="D155" s="52" t="s">
        <v>1267</v>
      </c>
      <c r="E155" s="52" t="s">
        <v>1268</v>
      </c>
      <c r="F155" s="53" t="s">
        <v>130</v>
      </c>
    </row>
    <row r="156" spans="1:6" x14ac:dyDescent="0.3">
      <c r="A156" s="52" t="s">
        <v>456</v>
      </c>
      <c r="B156" s="53" t="s">
        <v>457</v>
      </c>
      <c r="C156" s="52" t="s">
        <v>163</v>
      </c>
      <c r="D156" s="52" t="s">
        <v>1269</v>
      </c>
      <c r="E156" s="52" t="s">
        <v>1270</v>
      </c>
      <c r="F156" s="53" t="s">
        <v>163</v>
      </c>
    </row>
    <row r="157" spans="1:6" x14ac:dyDescent="0.3">
      <c r="A157" s="52" t="s">
        <v>456</v>
      </c>
      <c r="B157" s="53" t="s">
        <v>457</v>
      </c>
      <c r="C157" s="52" t="s">
        <v>145</v>
      </c>
      <c r="D157" s="52" t="s">
        <v>1271</v>
      </c>
      <c r="E157" s="52" t="s">
        <v>1272</v>
      </c>
      <c r="F157" s="53" t="s">
        <v>145</v>
      </c>
    </row>
    <row r="158" spans="1:6" x14ac:dyDescent="0.3">
      <c r="A158" s="52" t="s">
        <v>456</v>
      </c>
      <c r="B158" s="53" t="s">
        <v>457</v>
      </c>
      <c r="C158" s="52" t="s">
        <v>168</v>
      </c>
      <c r="D158" s="52" t="s">
        <v>1273</v>
      </c>
      <c r="E158" s="52" t="s">
        <v>1274</v>
      </c>
      <c r="F158" s="53" t="s">
        <v>168</v>
      </c>
    </row>
    <row r="159" spans="1:6" x14ac:dyDescent="0.3">
      <c r="A159" s="52" t="s">
        <v>456</v>
      </c>
      <c r="B159" s="53" t="s">
        <v>457</v>
      </c>
      <c r="C159" s="52" t="s">
        <v>189</v>
      </c>
      <c r="D159" s="52" t="s">
        <v>1275</v>
      </c>
      <c r="E159" s="52" t="s">
        <v>1276</v>
      </c>
      <c r="F159" s="53" t="s">
        <v>189</v>
      </c>
    </row>
    <row r="160" spans="1:6" x14ac:dyDescent="0.3">
      <c r="A160" s="52" t="s">
        <v>465</v>
      </c>
      <c r="B160" s="53" t="s">
        <v>466</v>
      </c>
      <c r="C160" s="52" t="s">
        <v>243</v>
      </c>
      <c r="D160" s="52" t="s">
        <v>1277</v>
      </c>
      <c r="E160" s="52" t="s">
        <v>1278</v>
      </c>
      <c r="F160" s="53" t="s">
        <v>467</v>
      </c>
    </row>
    <row r="161" spans="1:6" x14ac:dyDescent="0.3">
      <c r="A161" s="52" t="s">
        <v>465</v>
      </c>
      <c r="B161" s="53" t="s">
        <v>466</v>
      </c>
      <c r="C161" s="52" t="s">
        <v>211</v>
      </c>
      <c r="D161" s="52" t="s">
        <v>1279</v>
      </c>
      <c r="E161" s="52" t="s">
        <v>1280</v>
      </c>
      <c r="F161" s="53" t="s">
        <v>469</v>
      </c>
    </row>
    <row r="162" spans="1:6" x14ac:dyDescent="0.3">
      <c r="A162" s="52" t="s">
        <v>465</v>
      </c>
      <c r="B162" s="53" t="s">
        <v>466</v>
      </c>
      <c r="C162" s="52" t="s">
        <v>130</v>
      </c>
      <c r="D162" s="52" t="s">
        <v>1023</v>
      </c>
      <c r="E162" s="52" t="s">
        <v>1024</v>
      </c>
      <c r="F162" s="53" t="s">
        <v>131</v>
      </c>
    </row>
    <row r="163" spans="1:6" x14ac:dyDescent="0.3">
      <c r="A163" s="52" t="s">
        <v>465</v>
      </c>
      <c r="B163" s="53" t="s">
        <v>466</v>
      </c>
      <c r="C163" s="52" t="s">
        <v>393</v>
      </c>
      <c r="D163" s="52" t="s">
        <v>1023</v>
      </c>
      <c r="E163" s="52" t="s">
        <v>1281</v>
      </c>
      <c r="F163" s="53" t="s">
        <v>472</v>
      </c>
    </row>
    <row r="164" spans="1:6" x14ac:dyDescent="0.3">
      <c r="A164" s="52" t="s">
        <v>465</v>
      </c>
      <c r="B164" s="53" t="s">
        <v>466</v>
      </c>
      <c r="C164" s="52" t="s">
        <v>189</v>
      </c>
      <c r="D164" s="52" t="s">
        <v>1282</v>
      </c>
      <c r="E164" s="52" t="s">
        <v>1283</v>
      </c>
      <c r="F164" s="53" t="s">
        <v>474</v>
      </c>
    </row>
    <row r="165" spans="1:6" x14ac:dyDescent="0.3">
      <c r="A165" s="52" t="s">
        <v>465</v>
      </c>
      <c r="B165" s="53" t="s">
        <v>466</v>
      </c>
      <c r="C165" s="52" t="s">
        <v>192</v>
      </c>
      <c r="D165" s="52" t="s">
        <v>1284</v>
      </c>
      <c r="E165" s="52" t="s">
        <v>1285</v>
      </c>
      <c r="F165" s="53" t="s">
        <v>476</v>
      </c>
    </row>
    <row r="166" spans="1:6" x14ac:dyDescent="0.3">
      <c r="A166" s="52" t="s">
        <v>465</v>
      </c>
      <c r="B166" s="53" t="s">
        <v>466</v>
      </c>
      <c r="C166" s="52" t="s">
        <v>396</v>
      </c>
      <c r="D166" s="52" t="s">
        <v>1286</v>
      </c>
      <c r="E166" s="52" t="s">
        <v>1287</v>
      </c>
      <c r="F166" s="53" t="s">
        <v>478</v>
      </c>
    </row>
    <row r="167" spans="1:6" x14ac:dyDescent="0.3">
      <c r="A167" s="52" t="s">
        <v>465</v>
      </c>
      <c r="B167" s="53" t="s">
        <v>466</v>
      </c>
      <c r="C167" s="52" t="s">
        <v>419</v>
      </c>
      <c r="D167" s="52" t="s">
        <v>1288</v>
      </c>
      <c r="E167" s="52" t="s">
        <v>1289</v>
      </c>
      <c r="F167" s="53" t="s">
        <v>480</v>
      </c>
    </row>
    <row r="168" spans="1:6" x14ac:dyDescent="0.3">
      <c r="A168" s="52" t="s">
        <v>482</v>
      </c>
      <c r="B168" s="53" t="s">
        <v>483</v>
      </c>
      <c r="C168" s="52" t="s">
        <v>102</v>
      </c>
      <c r="D168" s="52" t="s">
        <v>1290</v>
      </c>
      <c r="E168" s="52" t="s">
        <v>1291</v>
      </c>
      <c r="F168" s="53" t="s">
        <v>484</v>
      </c>
    </row>
    <row r="169" spans="1:6" x14ac:dyDescent="0.3">
      <c r="A169" s="52" t="s">
        <v>482</v>
      </c>
      <c r="B169" s="53" t="s">
        <v>483</v>
      </c>
      <c r="C169" s="52" t="s">
        <v>121</v>
      </c>
      <c r="D169" s="52" t="s">
        <v>1292</v>
      </c>
      <c r="E169" s="52" t="s">
        <v>1293</v>
      </c>
      <c r="F169" s="53" t="s">
        <v>486</v>
      </c>
    </row>
    <row r="170" spans="1:6" x14ac:dyDescent="0.3">
      <c r="A170" s="52" t="s">
        <v>482</v>
      </c>
      <c r="B170" s="53" t="s">
        <v>483</v>
      </c>
      <c r="C170" s="52" t="s">
        <v>139</v>
      </c>
      <c r="D170" s="52" t="s">
        <v>1294</v>
      </c>
      <c r="E170" s="52" t="s">
        <v>1295</v>
      </c>
      <c r="F170" s="53" t="s">
        <v>488</v>
      </c>
    </row>
    <row r="171" spans="1:6" x14ac:dyDescent="0.3">
      <c r="A171" s="52" t="s">
        <v>482</v>
      </c>
      <c r="B171" s="53" t="s">
        <v>483</v>
      </c>
      <c r="C171" s="52" t="s">
        <v>195</v>
      </c>
      <c r="D171" s="52" t="s">
        <v>1296</v>
      </c>
      <c r="E171" s="52" t="s">
        <v>1297</v>
      </c>
      <c r="F171" s="53" t="s">
        <v>490</v>
      </c>
    </row>
    <row r="172" spans="1:6" x14ac:dyDescent="0.3">
      <c r="A172" s="52" t="s">
        <v>492</v>
      </c>
      <c r="B172" s="53" t="s">
        <v>493</v>
      </c>
      <c r="C172" s="52" t="s">
        <v>102</v>
      </c>
      <c r="D172" s="52" t="s">
        <v>1298</v>
      </c>
      <c r="E172" s="52" t="s">
        <v>1299</v>
      </c>
      <c r="F172" s="53" t="s">
        <v>494</v>
      </c>
    </row>
    <row r="173" spans="1:6" x14ac:dyDescent="0.3">
      <c r="A173" s="52" t="s">
        <v>492</v>
      </c>
      <c r="B173" s="53" t="s">
        <v>493</v>
      </c>
      <c r="C173" s="52" t="s">
        <v>105</v>
      </c>
      <c r="D173" s="52" t="s">
        <v>1300</v>
      </c>
      <c r="E173" s="52" t="s">
        <v>1301</v>
      </c>
      <c r="F173" s="53" t="s">
        <v>496</v>
      </c>
    </row>
    <row r="174" spans="1:6" x14ac:dyDescent="0.3">
      <c r="A174" s="52" t="s">
        <v>492</v>
      </c>
      <c r="B174" s="53" t="s">
        <v>493</v>
      </c>
      <c r="C174" s="52" t="s">
        <v>108</v>
      </c>
      <c r="D174" s="52" t="s">
        <v>1302</v>
      </c>
      <c r="E174" s="52" t="s">
        <v>1303</v>
      </c>
      <c r="F174" s="53" t="s">
        <v>498</v>
      </c>
    </row>
    <row r="175" spans="1:6" x14ac:dyDescent="0.3">
      <c r="A175" s="52" t="s">
        <v>492</v>
      </c>
      <c r="B175" s="53" t="s">
        <v>493</v>
      </c>
      <c r="C175" s="52" t="s">
        <v>419</v>
      </c>
      <c r="D175" s="52" t="s">
        <v>1288</v>
      </c>
      <c r="E175" s="52" t="s">
        <v>1289</v>
      </c>
      <c r="F175" s="53" t="s">
        <v>500</v>
      </c>
    </row>
    <row r="176" spans="1:6" x14ac:dyDescent="0.3">
      <c r="A176" s="52" t="s">
        <v>502</v>
      </c>
      <c r="B176" s="53" t="s">
        <v>503</v>
      </c>
      <c r="C176" s="52" t="s">
        <v>102</v>
      </c>
      <c r="D176" s="52" t="s">
        <v>1304</v>
      </c>
      <c r="E176" s="52" t="s">
        <v>1305</v>
      </c>
      <c r="F176" s="53" t="s">
        <v>504</v>
      </c>
    </row>
    <row r="177" spans="1:6" x14ac:dyDescent="0.3">
      <c r="A177" s="52" t="s">
        <v>502</v>
      </c>
      <c r="B177" s="53" t="s">
        <v>503</v>
      </c>
      <c r="C177" s="52" t="s">
        <v>105</v>
      </c>
      <c r="D177" s="52" t="s">
        <v>1306</v>
      </c>
      <c r="E177" s="52" t="s">
        <v>1307</v>
      </c>
      <c r="F177" s="53" t="s">
        <v>506</v>
      </c>
    </row>
    <row r="178" spans="1:6" x14ac:dyDescent="0.3">
      <c r="A178" s="52" t="s">
        <v>502</v>
      </c>
      <c r="B178" s="53" t="s">
        <v>503</v>
      </c>
      <c r="C178" s="52" t="s">
        <v>108</v>
      </c>
      <c r="D178" s="52" t="s">
        <v>1308</v>
      </c>
      <c r="E178" s="52" t="s">
        <v>1309</v>
      </c>
      <c r="F178" s="53" t="s">
        <v>508</v>
      </c>
    </row>
    <row r="179" spans="1:6" x14ac:dyDescent="0.3">
      <c r="A179" s="52" t="s">
        <v>502</v>
      </c>
      <c r="B179" s="53" t="s">
        <v>503</v>
      </c>
      <c r="C179" s="52" t="s">
        <v>118</v>
      </c>
      <c r="D179" s="52" t="s">
        <v>1310</v>
      </c>
      <c r="E179" s="52" t="s">
        <v>1311</v>
      </c>
      <c r="F179" s="53" t="s">
        <v>510</v>
      </c>
    </row>
    <row r="180" spans="1:6" x14ac:dyDescent="0.3">
      <c r="A180" s="52" t="s">
        <v>512</v>
      </c>
      <c r="B180" s="53" t="s">
        <v>513</v>
      </c>
      <c r="C180" s="52" t="s">
        <v>142</v>
      </c>
      <c r="D180" s="52" t="s">
        <v>1312</v>
      </c>
      <c r="E180" s="52" t="s">
        <v>1313</v>
      </c>
      <c r="F180" s="53" t="s">
        <v>514</v>
      </c>
    </row>
    <row r="181" spans="1:6" x14ac:dyDescent="0.3">
      <c r="A181" s="52" t="s">
        <v>512</v>
      </c>
      <c r="B181" s="53" t="s">
        <v>513</v>
      </c>
      <c r="C181" s="52" t="s">
        <v>189</v>
      </c>
      <c r="D181" s="52" t="s">
        <v>1314</v>
      </c>
      <c r="E181" s="52" t="s">
        <v>1315</v>
      </c>
      <c r="F181" s="53" t="s">
        <v>516</v>
      </c>
    </row>
    <row r="182" spans="1:6" x14ac:dyDescent="0.3">
      <c r="A182" s="52" t="s">
        <v>512</v>
      </c>
      <c r="B182" s="53" t="s">
        <v>513</v>
      </c>
      <c r="C182" s="52" t="s">
        <v>195</v>
      </c>
      <c r="D182" s="52" t="s">
        <v>1316</v>
      </c>
      <c r="E182" s="52" t="s">
        <v>1317</v>
      </c>
      <c r="F182" s="53" t="s">
        <v>518</v>
      </c>
    </row>
    <row r="183" spans="1:6" x14ac:dyDescent="0.3">
      <c r="A183" s="52" t="s">
        <v>520</v>
      </c>
      <c r="B183" s="53" t="s">
        <v>521</v>
      </c>
      <c r="C183" s="52" t="s">
        <v>121</v>
      </c>
      <c r="D183" s="52" t="s">
        <v>1318</v>
      </c>
      <c r="E183" s="52" t="s">
        <v>1319</v>
      </c>
      <c r="F183" s="53" t="s">
        <v>522</v>
      </c>
    </row>
    <row r="184" spans="1:6" x14ac:dyDescent="0.3">
      <c r="A184" s="52" t="s">
        <v>520</v>
      </c>
      <c r="B184" s="53" t="s">
        <v>521</v>
      </c>
      <c r="C184" s="52" t="s">
        <v>142</v>
      </c>
      <c r="D184" s="52" t="s">
        <v>1320</v>
      </c>
      <c r="E184" s="52" t="s">
        <v>1321</v>
      </c>
      <c r="F184" s="53" t="s">
        <v>524</v>
      </c>
    </row>
    <row r="185" spans="1:6" x14ac:dyDescent="0.3">
      <c r="A185" s="52" t="s">
        <v>520</v>
      </c>
      <c r="B185" s="53" t="s">
        <v>521</v>
      </c>
      <c r="C185" s="52" t="s">
        <v>189</v>
      </c>
      <c r="D185" s="52" t="s">
        <v>1322</v>
      </c>
      <c r="E185" s="52" t="s">
        <v>1323</v>
      </c>
      <c r="F185" s="53" t="s">
        <v>526</v>
      </c>
    </row>
    <row r="186" spans="1:6" x14ac:dyDescent="0.3">
      <c r="A186" s="52" t="s">
        <v>528</v>
      </c>
      <c r="B186" s="53" t="s">
        <v>529</v>
      </c>
      <c r="C186" s="52" t="s">
        <v>102</v>
      </c>
      <c r="D186" s="52" t="s">
        <v>1324</v>
      </c>
      <c r="E186" s="52" t="s">
        <v>1325</v>
      </c>
      <c r="F186" s="53" t="s">
        <v>530</v>
      </c>
    </row>
    <row r="187" spans="1:6" x14ac:dyDescent="0.3">
      <c r="A187" s="52" t="s">
        <v>528</v>
      </c>
      <c r="B187" s="53" t="s">
        <v>529</v>
      </c>
      <c r="C187" s="52" t="s">
        <v>105</v>
      </c>
      <c r="D187" s="52" t="s">
        <v>1326</v>
      </c>
      <c r="E187" s="52" t="s">
        <v>1327</v>
      </c>
      <c r="F187" s="53" t="s">
        <v>532</v>
      </c>
    </row>
    <row r="188" spans="1:6" x14ac:dyDescent="0.3">
      <c r="A188" s="52" t="s">
        <v>528</v>
      </c>
      <c r="B188" s="53" t="s">
        <v>529</v>
      </c>
      <c r="C188" s="52" t="s">
        <v>108</v>
      </c>
      <c r="D188" s="52" t="s">
        <v>1328</v>
      </c>
      <c r="E188" s="52" t="s">
        <v>1329</v>
      </c>
      <c r="F188" s="53" t="s">
        <v>534</v>
      </c>
    </row>
    <row r="189" spans="1:6" x14ac:dyDescent="0.3">
      <c r="A189" s="52" t="s">
        <v>528</v>
      </c>
      <c r="B189" s="53" t="s">
        <v>529</v>
      </c>
      <c r="C189" s="52" t="s">
        <v>243</v>
      </c>
      <c r="D189" s="52" t="s">
        <v>1330</v>
      </c>
      <c r="E189" s="52" t="s">
        <v>1331</v>
      </c>
      <c r="F189" s="53" t="s">
        <v>536</v>
      </c>
    </row>
    <row r="190" spans="1:6" x14ac:dyDescent="0.3">
      <c r="A190" s="52" t="s">
        <v>528</v>
      </c>
      <c r="B190" s="53" t="s">
        <v>529</v>
      </c>
      <c r="C190" s="52" t="s">
        <v>211</v>
      </c>
      <c r="D190" s="52" t="s">
        <v>1332</v>
      </c>
      <c r="E190" s="52" t="s">
        <v>1333</v>
      </c>
      <c r="F190" s="53" t="s">
        <v>538</v>
      </c>
    </row>
    <row r="191" spans="1:6" x14ac:dyDescent="0.3">
      <c r="A191" s="52" t="s">
        <v>528</v>
      </c>
      <c r="B191" s="53" t="s">
        <v>529</v>
      </c>
      <c r="C191" s="52" t="s">
        <v>133</v>
      </c>
      <c r="D191" s="52" t="s">
        <v>1334</v>
      </c>
      <c r="E191" s="52" t="s">
        <v>1335</v>
      </c>
      <c r="F191" s="53" t="s">
        <v>540</v>
      </c>
    </row>
    <row r="192" spans="1:6" x14ac:dyDescent="0.3">
      <c r="A192" s="52" t="s">
        <v>542</v>
      </c>
      <c r="B192" s="53" t="s">
        <v>543</v>
      </c>
      <c r="C192" s="52" t="s">
        <v>102</v>
      </c>
      <c r="D192" s="52" t="s">
        <v>1336</v>
      </c>
      <c r="E192" s="52" t="s">
        <v>1337</v>
      </c>
      <c r="F192" s="53" t="s">
        <v>544</v>
      </c>
    </row>
    <row r="193" spans="1:6" x14ac:dyDescent="0.3">
      <c r="A193" s="52" t="s">
        <v>542</v>
      </c>
      <c r="B193" s="53" t="s">
        <v>543</v>
      </c>
      <c r="C193" s="52" t="s">
        <v>105</v>
      </c>
      <c r="D193" s="52" t="s">
        <v>1338</v>
      </c>
      <c r="E193" s="52" t="s">
        <v>1339</v>
      </c>
      <c r="F193" s="53" t="s">
        <v>546</v>
      </c>
    </row>
    <row r="194" spans="1:6" x14ac:dyDescent="0.3">
      <c r="A194" s="52" t="s">
        <v>542</v>
      </c>
      <c r="B194" s="53" t="s">
        <v>543</v>
      </c>
      <c r="C194" s="52" t="s">
        <v>160</v>
      </c>
      <c r="D194" s="52" t="s">
        <v>1340</v>
      </c>
      <c r="E194" s="52" t="s">
        <v>1341</v>
      </c>
      <c r="F194" s="53" t="s">
        <v>548</v>
      </c>
    </row>
    <row r="195" spans="1:6" x14ac:dyDescent="0.3">
      <c r="A195" s="52" t="s">
        <v>542</v>
      </c>
      <c r="B195" s="53" t="s">
        <v>543</v>
      </c>
      <c r="C195" s="52" t="s">
        <v>163</v>
      </c>
      <c r="D195" s="52" t="s">
        <v>1342</v>
      </c>
      <c r="E195" s="52" t="s">
        <v>1343</v>
      </c>
      <c r="F195" s="53" t="s">
        <v>550</v>
      </c>
    </row>
    <row r="196" spans="1:6" x14ac:dyDescent="0.3">
      <c r="A196" s="52" t="s">
        <v>542</v>
      </c>
      <c r="B196" s="53" t="s">
        <v>543</v>
      </c>
      <c r="C196" s="52" t="s">
        <v>145</v>
      </c>
      <c r="D196" s="52" t="s">
        <v>1344</v>
      </c>
      <c r="E196" s="52" t="s">
        <v>1345</v>
      </c>
      <c r="F196" s="53" t="s">
        <v>552</v>
      </c>
    </row>
    <row r="197" spans="1:6" x14ac:dyDescent="0.3">
      <c r="A197" s="52" t="s">
        <v>554</v>
      </c>
      <c r="B197" s="53" t="s">
        <v>555</v>
      </c>
      <c r="C197" s="52" t="s">
        <v>102</v>
      </c>
      <c r="D197" s="52" t="s">
        <v>1336</v>
      </c>
      <c r="E197" s="52" t="s">
        <v>1337</v>
      </c>
      <c r="F197" s="53" t="s">
        <v>544</v>
      </c>
    </row>
    <row r="198" spans="1:6" x14ac:dyDescent="0.3">
      <c r="A198" s="52" t="s">
        <v>554</v>
      </c>
      <c r="B198" s="53" t="s">
        <v>555</v>
      </c>
      <c r="C198" s="52" t="s">
        <v>105</v>
      </c>
      <c r="D198" s="52" t="s">
        <v>1338</v>
      </c>
      <c r="E198" s="52" t="s">
        <v>1339</v>
      </c>
      <c r="F198" s="53" t="s">
        <v>557</v>
      </c>
    </row>
    <row r="199" spans="1:6" x14ac:dyDescent="0.3">
      <c r="A199" s="52" t="s">
        <v>554</v>
      </c>
      <c r="B199" s="53" t="s">
        <v>555</v>
      </c>
      <c r="C199" s="52" t="s">
        <v>145</v>
      </c>
      <c r="D199" s="52" t="s">
        <v>1344</v>
      </c>
      <c r="E199" s="52" t="s">
        <v>1345</v>
      </c>
      <c r="F199" s="53" t="s">
        <v>552</v>
      </c>
    </row>
    <row r="200" spans="1:6" x14ac:dyDescent="0.3">
      <c r="A200" s="52" t="s">
        <v>554</v>
      </c>
      <c r="B200" s="53" t="s">
        <v>555</v>
      </c>
      <c r="C200" s="52" t="s">
        <v>189</v>
      </c>
      <c r="D200" s="52" t="s">
        <v>1346</v>
      </c>
      <c r="E200" s="52" t="s">
        <v>1347</v>
      </c>
      <c r="F200" s="53" t="s">
        <v>560</v>
      </c>
    </row>
    <row r="201" spans="1:6" x14ac:dyDescent="0.3">
      <c r="A201" s="52" t="s">
        <v>554</v>
      </c>
      <c r="B201" s="53" t="s">
        <v>555</v>
      </c>
      <c r="C201" s="52" t="s">
        <v>148</v>
      </c>
      <c r="D201" s="52" t="s">
        <v>1348</v>
      </c>
      <c r="E201" s="52" t="s">
        <v>1349</v>
      </c>
      <c r="F201" s="53" t="s">
        <v>562</v>
      </c>
    </row>
    <row r="202" spans="1:6" x14ac:dyDescent="0.3">
      <c r="A202" s="52" t="s">
        <v>564</v>
      </c>
      <c r="B202" s="53" t="s">
        <v>565</v>
      </c>
      <c r="C202" s="52" t="s">
        <v>121</v>
      </c>
      <c r="D202" s="52" t="s">
        <v>1350</v>
      </c>
      <c r="E202" s="52" t="s">
        <v>1351</v>
      </c>
      <c r="F202" s="53" t="s">
        <v>566</v>
      </c>
    </row>
    <row r="203" spans="1:6" x14ac:dyDescent="0.3">
      <c r="A203" s="52" t="s">
        <v>564</v>
      </c>
      <c r="B203" s="53" t="s">
        <v>565</v>
      </c>
      <c r="C203" s="52" t="s">
        <v>142</v>
      </c>
      <c r="D203" s="52" t="s">
        <v>1352</v>
      </c>
      <c r="E203" s="52" t="s">
        <v>1353</v>
      </c>
      <c r="F203" s="53" t="s">
        <v>568</v>
      </c>
    </row>
    <row r="204" spans="1:6" x14ac:dyDescent="0.3">
      <c r="A204" s="52" t="s">
        <v>564</v>
      </c>
      <c r="B204" s="53" t="s">
        <v>565</v>
      </c>
      <c r="C204" s="52" t="s">
        <v>195</v>
      </c>
      <c r="D204" s="52" t="s">
        <v>1354</v>
      </c>
      <c r="E204" s="52" t="s">
        <v>1355</v>
      </c>
      <c r="F204" s="53" t="s">
        <v>570</v>
      </c>
    </row>
    <row r="205" spans="1:6" x14ac:dyDescent="0.3">
      <c r="A205" s="52" t="s">
        <v>572</v>
      </c>
      <c r="B205" s="53" t="s">
        <v>573</v>
      </c>
      <c r="C205" s="52" t="s">
        <v>118</v>
      </c>
      <c r="D205" s="52" t="s">
        <v>1356</v>
      </c>
      <c r="E205" s="52" t="s">
        <v>1357</v>
      </c>
      <c r="F205" s="53" t="s">
        <v>574</v>
      </c>
    </row>
    <row r="206" spans="1:6" x14ac:dyDescent="0.3">
      <c r="A206" s="52" t="s">
        <v>572</v>
      </c>
      <c r="B206" s="53" t="s">
        <v>573</v>
      </c>
      <c r="C206" s="52" t="s">
        <v>124</v>
      </c>
      <c r="D206" s="52" t="s">
        <v>1358</v>
      </c>
      <c r="E206" s="52" t="s">
        <v>1359</v>
      </c>
      <c r="F206" s="53" t="s">
        <v>576</v>
      </c>
    </row>
    <row r="207" spans="1:6" x14ac:dyDescent="0.3">
      <c r="A207" s="52" t="s">
        <v>572</v>
      </c>
      <c r="B207" s="53" t="s">
        <v>573</v>
      </c>
      <c r="C207" s="52" t="s">
        <v>127</v>
      </c>
      <c r="D207" s="52" t="s">
        <v>1360</v>
      </c>
      <c r="E207" s="52" t="s">
        <v>1361</v>
      </c>
      <c r="F207" s="53" t="s">
        <v>578</v>
      </c>
    </row>
    <row r="208" spans="1:6" x14ac:dyDescent="0.3">
      <c r="A208" s="52" t="s">
        <v>572</v>
      </c>
      <c r="B208" s="53" t="s">
        <v>573</v>
      </c>
      <c r="C208" s="52" t="s">
        <v>243</v>
      </c>
      <c r="D208" s="52" t="s">
        <v>1362</v>
      </c>
      <c r="E208" s="52" t="s">
        <v>1363</v>
      </c>
      <c r="F208" s="53" t="s">
        <v>580</v>
      </c>
    </row>
    <row r="209" spans="1:6" x14ac:dyDescent="0.3">
      <c r="A209" s="52" t="s">
        <v>572</v>
      </c>
      <c r="B209" s="53" t="s">
        <v>573</v>
      </c>
      <c r="C209" s="52" t="s">
        <v>211</v>
      </c>
      <c r="D209" s="52" t="s">
        <v>1364</v>
      </c>
      <c r="E209" s="52" t="s">
        <v>1365</v>
      </c>
      <c r="F209" s="53" t="s">
        <v>582</v>
      </c>
    </row>
    <row r="210" spans="1:6" x14ac:dyDescent="0.3">
      <c r="A210" s="52" t="s">
        <v>572</v>
      </c>
      <c r="B210" s="53" t="s">
        <v>573</v>
      </c>
      <c r="C210" s="52" t="s">
        <v>130</v>
      </c>
      <c r="D210" s="52" t="s">
        <v>1366</v>
      </c>
      <c r="E210" s="52" t="s">
        <v>1367</v>
      </c>
      <c r="F210" s="53" t="s">
        <v>584</v>
      </c>
    </row>
    <row r="211" spans="1:6" x14ac:dyDescent="0.3">
      <c r="A211" s="52" t="s">
        <v>572</v>
      </c>
      <c r="B211" s="53" t="s">
        <v>573</v>
      </c>
      <c r="C211" s="52" t="s">
        <v>393</v>
      </c>
      <c r="D211" s="52" t="s">
        <v>1368</v>
      </c>
      <c r="E211" s="52" t="s">
        <v>1369</v>
      </c>
      <c r="F211" s="53" t="s">
        <v>586</v>
      </c>
    </row>
    <row r="212" spans="1:6" x14ac:dyDescent="0.3">
      <c r="A212" s="52" t="s">
        <v>572</v>
      </c>
      <c r="B212" s="53" t="s">
        <v>573</v>
      </c>
      <c r="C212" s="52" t="s">
        <v>148</v>
      </c>
      <c r="D212" s="52" t="s">
        <v>1348</v>
      </c>
      <c r="E212" s="52" t="s">
        <v>1349</v>
      </c>
      <c r="F212" s="53" t="s">
        <v>588</v>
      </c>
    </row>
    <row r="213" spans="1:6" x14ac:dyDescent="0.3">
      <c r="A213" s="52" t="s">
        <v>572</v>
      </c>
      <c r="B213" s="53" t="s">
        <v>573</v>
      </c>
      <c r="C213" s="52" t="s">
        <v>192</v>
      </c>
      <c r="D213" s="52" t="s">
        <v>1370</v>
      </c>
      <c r="E213" s="52" t="s">
        <v>1371</v>
      </c>
      <c r="F213" s="53" t="s">
        <v>590</v>
      </c>
    </row>
    <row r="214" spans="1:6" x14ac:dyDescent="0.3">
      <c r="A214" s="52" t="s">
        <v>572</v>
      </c>
      <c r="B214" s="53" t="s">
        <v>573</v>
      </c>
      <c r="C214" s="52" t="s">
        <v>396</v>
      </c>
      <c r="D214" s="52" t="s">
        <v>1372</v>
      </c>
      <c r="E214" s="52" t="s">
        <v>1373</v>
      </c>
      <c r="F214" s="53" t="s">
        <v>592</v>
      </c>
    </row>
    <row r="215" spans="1:6" x14ac:dyDescent="0.3">
      <c r="A215" s="52" t="s">
        <v>572</v>
      </c>
      <c r="B215" s="53" t="s">
        <v>573</v>
      </c>
      <c r="C215" s="52" t="s">
        <v>220</v>
      </c>
      <c r="D215" s="52" t="s">
        <v>1374</v>
      </c>
      <c r="E215" s="52" t="s">
        <v>1375</v>
      </c>
      <c r="F215" s="53" t="s">
        <v>594</v>
      </c>
    </row>
    <row r="216" spans="1:6" x14ac:dyDescent="0.3">
      <c r="A216" s="52" t="s">
        <v>572</v>
      </c>
      <c r="B216" s="53" t="s">
        <v>573</v>
      </c>
      <c r="C216" s="52" t="s">
        <v>419</v>
      </c>
      <c r="D216" s="52" t="s">
        <v>1376</v>
      </c>
      <c r="E216" s="52" t="s">
        <v>1377</v>
      </c>
      <c r="F216" s="53" t="s">
        <v>596</v>
      </c>
    </row>
    <row r="217" spans="1:6" x14ac:dyDescent="0.3">
      <c r="A217" s="52" t="s">
        <v>598</v>
      </c>
      <c r="B217" s="53" t="s">
        <v>599</v>
      </c>
      <c r="C217" s="52" t="s">
        <v>121</v>
      </c>
      <c r="D217" s="52" t="s">
        <v>1378</v>
      </c>
      <c r="E217" s="52" t="s">
        <v>1379</v>
      </c>
      <c r="F217" s="53" t="s">
        <v>600</v>
      </c>
    </row>
    <row r="218" spans="1:6" x14ac:dyDescent="0.3">
      <c r="A218" s="52" t="s">
        <v>598</v>
      </c>
      <c r="B218" s="53" t="s">
        <v>599</v>
      </c>
      <c r="C218" s="52" t="s">
        <v>124</v>
      </c>
      <c r="D218" s="52" t="s">
        <v>1380</v>
      </c>
      <c r="E218" s="52" t="s">
        <v>1381</v>
      </c>
      <c r="F218" s="53" t="s">
        <v>602</v>
      </c>
    </row>
    <row r="219" spans="1:6" x14ac:dyDescent="0.3">
      <c r="A219" s="52" t="s">
        <v>598</v>
      </c>
      <c r="B219" s="53" t="s">
        <v>599</v>
      </c>
      <c r="C219" s="52" t="s">
        <v>142</v>
      </c>
      <c r="D219" s="52" t="s">
        <v>1382</v>
      </c>
      <c r="E219" s="52" t="s">
        <v>1383</v>
      </c>
      <c r="F219" s="53" t="s">
        <v>604</v>
      </c>
    </row>
    <row r="220" spans="1:6" x14ac:dyDescent="0.3">
      <c r="A220" s="52" t="s">
        <v>598</v>
      </c>
      <c r="B220" s="53" t="s">
        <v>599</v>
      </c>
      <c r="C220" s="52" t="s">
        <v>168</v>
      </c>
      <c r="D220" s="52" t="s">
        <v>1384</v>
      </c>
      <c r="E220" s="52" t="s">
        <v>1385</v>
      </c>
      <c r="F220" s="53" t="s">
        <v>606</v>
      </c>
    </row>
    <row r="221" spans="1:6" x14ac:dyDescent="0.3">
      <c r="A221" s="52" t="s">
        <v>598</v>
      </c>
      <c r="B221" s="53" t="s">
        <v>599</v>
      </c>
      <c r="C221" s="52" t="s">
        <v>189</v>
      </c>
      <c r="D221" s="52" t="s">
        <v>1386</v>
      </c>
      <c r="E221" s="52" t="s">
        <v>1387</v>
      </c>
      <c r="F221" s="53" t="s">
        <v>608</v>
      </c>
    </row>
    <row r="222" spans="1:6" x14ac:dyDescent="0.3">
      <c r="A222" s="52" t="s">
        <v>598</v>
      </c>
      <c r="B222" s="53" t="s">
        <v>599</v>
      </c>
      <c r="C222" s="52" t="s">
        <v>195</v>
      </c>
      <c r="D222" s="52" t="s">
        <v>1388</v>
      </c>
      <c r="E222" s="52" t="s">
        <v>1389</v>
      </c>
      <c r="F222" s="53" t="s">
        <v>610</v>
      </c>
    </row>
    <row r="223" spans="1:6" x14ac:dyDescent="0.3">
      <c r="A223" s="52" t="s">
        <v>612</v>
      </c>
      <c r="B223" s="53" t="s">
        <v>613</v>
      </c>
      <c r="C223" s="52" t="s">
        <v>105</v>
      </c>
      <c r="D223" s="52" t="s">
        <v>1390</v>
      </c>
      <c r="E223" s="52" t="s">
        <v>1391</v>
      </c>
      <c r="F223" s="53" t="s">
        <v>615</v>
      </c>
    </row>
    <row r="224" spans="1:6" x14ac:dyDescent="0.3">
      <c r="A224" s="52" t="s">
        <v>612</v>
      </c>
      <c r="B224" s="53" t="s">
        <v>613</v>
      </c>
      <c r="C224" s="52" t="s">
        <v>108</v>
      </c>
      <c r="D224" s="52" t="s">
        <v>1392</v>
      </c>
      <c r="E224" s="52" t="s">
        <v>1393</v>
      </c>
      <c r="F224" s="53" t="s">
        <v>617</v>
      </c>
    </row>
    <row r="225" spans="1:6" x14ac:dyDescent="0.3">
      <c r="A225" s="52" t="s">
        <v>612</v>
      </c>
      <c r="B225" s="53" t="s">
        <v>613</v>
      </c>
      <c r="C225" s="52" t="s">
        <v>124</v>
      </c>
      <c r="D225" s="52" t="s">
        <v>1394</v>
      </c>
      <c r="E225" s="52" t="s">
        <v>1395</v>
      </c>
      <c r="F225" s="53" t="s">
        <v>619</v>
      </c>
    </row>
    <row r="226" spans="1:6" x14ac:dyDescent="0.3">
      <c r="A226" s="52" t="s">
        <v>612</v>
      </c>
      <c r="B226" s="53" t="s">
        <v>613</v>
      </c>
      <c r="C226" s="52" t="s">
        <v>243</v>
      </c>
      <c r="D226" s="52" t="s">
        <v>1396</v>
      </c>
      <c r="E226" s="52" t="s">
        <v>1397</v>
      </c>
      <c r="F226" s="53" t="s">
        <v>621</v>
      </c>
    </row>
    <row r="227" spans="1:6" x14ac:dyDescent="0.3">
      <c r="A227" s="52" t="s">
        <v>612</v>
      </c>
      <c r="B227" s="53" t="s">
        <v>613</v>
      </c>
      <c r="C227" s="52" t="s">
        <v>211</v>
      </c>
      <c r="D227" s="52" t="s">
        <v>1398</v>
      </c>
      <c r="E227" s="52" t="s">
        <v>1399</v>
      </c>
      <c r="F227" s="53" t="s">
        <v>623</v>
      </c>
    </row>
    <row r="228" spans="1:6" x14ac:dyDescent="0.3">
      <c r="A228" s="52" t="s">
        <v>612</v>
      </c>
      <c r="B228" s="53" t="s">
        <v>613</v>
      </c>
      <c r="C228" s="52" t="s">
        <v>130</v>
      </c>
      <c r="D228" s="52" t="s">
        <v>1400</v>
      </c>
      <c r="E228" s="52" t="s">
        <v>1401</v>
      </c>
      <c r="F228" s="53" t="s">
        <v>625</v>
      </c>
    </row>
    <row r="229" spans="1:6" x14ac:dyDescent="0.3">
      <c r="A229" s="52" t="s">
        <v>612</v>
      </c>
      <c r="B229" s="53" t="s">
        <v>613</v>
      </c>
      <c r="C229" s="52" t="s">
        <v>142</v>
      </c>
      <c r="D229" s="52" t="s">
        <v>1402</v>
      </c>
      <c r="E229" s="52" t="s">
        <v>1403</v>
      </c>
      <c r="F229" s="53" t="s">
        <v>627</v>
      </c>
    </row>
    <row r="230" spans="1:6" x14ac:dyDescent="0.3">
      <c r="A230" s="52" t="s">
        <v>612</v>
      </c>
      <c r="B230" s="53" t="s">
        <v>613</v>
      </c>
      <c r="C230" s="52" t="s">
        <v>168</v>
      </c>
      <c r="D230" s="52" t="s">
        <v>1404</v>
      </c>
      <c r="E230" s="52" t="s">
        <v>1405</v>
      </c>
      <c r="F230" s="53" t="s">
        <v>629</v>
      </c>
    </row>
    <row r="231" spans="1:6" x14ac:dyDescent="0.3">
      <c r="A231" s="52" t="s">
        <v>612</v>
      </c>
      <c r="B231" s="53" t="s">
        <v>613</v>
      </c>
      <c r="C231" s="52" t="s">
        <v>189</v>
      </c>
      <c r="D231" s="52" t="s">
        <v>1406</v>
      </c>
      <c r="E231" s="52" t="s">
        <v>1407</v>
      </c>
      <c r="F231" s="53" t="s">
        <v>631</v>
      </c>
    </row>
    <row r="232" spans="1:6" x14ac:dyDescent="0.3">
      <c r="A232" s="52" t="s">
        <v>612</v>
      </c>
      <c r="B232" s="53" t="s">
        <v>613</v>
      </c>
      <c r="C232" s="52" t="s">
        <v>151</v>
      </c>
      <c r="D232" s="52" t="s">
        <v>1408</v>
      </c>
      <c r="E232" s="52" t="s">
        <v>1409</v>
      </c>
      <c r="F232" s="53" t="s">
        <v>633</v>
      </c>
    </row>
    <row r="233" spans="1:6" x14ac:dyDescent="0.3">
      <c r="A233" s="52" t="s">
        <v>635</v>
      </c>
      <c r="B233" s="53" t="s">
        <v>636</v>
      </c>
      <c r="C233" s="52" t="s">
        <v>102</v>
      </c>
      <c r="D233" s="52" t="s">
        <v>1410</v>
      </c>
      <c r="E233" s="52" t="s">
        <v>1411</v>
      </c>
      <c r="F233" s="53" t="s">
        <v>637</v>
      </c>
    </row>
    <row r="234" spans="1:6" x14ac:dyDescent="0.3">
      <c r="A234" s="52" t="s">
        <v>635</v>
      </c>
      <c r="B234" s="53" t="s">
        <v>636</v>
      </c>
      <c r="C234" s="52" t="s">
        <v>105</v>
      </c>
      <c r="D234" s="52" t="s">
        <v>1412</v>
      </c>
      <c r="E234" s="52" t="s">
        <v>1413</v>
      </c>
      <c r="F234" s="53" t="s">
        <v>639</v>
      </c>
    </row>
    <row r="235" spans="1:6" x14ac:dyDescent="0.3">
      <c r="A235" s="52" t="s">
        <v>635</v>
      </c>
      <c r="B235" s="53" t="s">
        <v>636</v>
      </c>
      <c r="C235" s="52" t="s">
        <v>108</v>
      </c>
      <c r="D235" s="52" t="s">
        <v>1414</v>
      </c>
      <c r="E235" s="52" t="s">
        <v>1415</v>
      </c>
      <c r="F235" s="53" t="s">
        <v>641</v>
      </c>
    </row>
    <row r="236" spans="1:6" x14ac:dyDescent="0.3">
      <c r="A236" s="52" t="s">
        <v>643</v>
      </c>
      <c r="B236" s="53" t="s">
        <v>644</v>
      </c>
      <c r="C236" s="52" t="s">
        <v>118</v>
      </c>
      <c r="D236" s="52" t="s">
        <v>1416</v>
      </c>
      <c r="E236" s="52" t="s">
        <v>1417</v>
      </c>
      <c r="F236" s="53" t="s">
        <v>645</v>
      </c>
    </row>
    <row r="237" spans="1:6" x14ac:dyDescent="0.3">
      <c r="A237" s="52" t="s">
        <v>643</v>
      </c>
      <c r="B237" s="53" t="s">
        <v>644</v>
      </c>
      <c r="C237" s="52" t="s">
        <v>127</v>
      </c>
      <c r="D237" s="52" t="s">
        <v>1418</v>
      </c>
      <c r="E237" s="52" t="s">
        <v>1419</v>
      </c>
      <c r="F237" s="53" t="s">
        <v>647</v>
      </c>
    </row>
    <row r="238" spans="1:6" x14ac:dyDescent="0.3">
      <c r="A238" s="52" t="s">
        <v>643</v>
      </c>
      <c r="B238" s="53" t="s">
        <v>644</v>
      </c>
      <c r="C238" s="52" t="s">
        <v>142</v>
      </c>
      <c r="D238" s="52" t="s">
        <v>1402</v>
      </c>
      <c r="E238" s="52" t="s">
        <v>1403</v>
      </c>
      <c r="F238" s="53" t="s">
        <v>649</v>
      </c>
    </row>
    <row r="239" spans="1:6" x14ac:dyDescent="0.3">
      <c r="A239" s="52" t="s">
        <v>643</v>
      </c>
      <c r="B239" s="53" t="s">
        <v>644</v>
      </c>
      <c r="C239" s="52" t="s">
        <v>148</v>
      </c>
      <c r="D239" s="52" t="s">
        <v>1420</v>
      </c>
      <c r="E239" s="52" t="s">
        <v>1421</v>
      </c>
      <c r="F239" s="53" t="s">
        <v>651</v>
      </c>
    </row>
    <row r="240" spans="1:6" x14ac:dyDescent="0.3">
      <c r="A240" s="52" t="s">
        <v>643</v>
      </c>
      <c r="B240" s="53" t="s">
        <v>644</v>
      </c>
      <c r="C240" s="52" t="s">
        <v>195</v>
      </c>
      <c r="D240" s="52" t="s">
        <v>1422</v>
      </c>
      <c r="E240" s="52" t="s">
        <v>1423</v>
      </c>
      <c r="F240" s="53" t="s">
        <v>653</v>
      </c>
    </row>
    <row r="241" spans="1:6" x14ac:dyDescent="0.3">
      <c r="A241" s="52" t="s">
        <v>655</v>
      </c>
      <c r="B241" s="53" t="s">
        <v>656</v>
      </c>
      <c r="C241" s="52" t="s">
        <v>121</v>
      </c>
      <c r="D241" s="52" t="s">
        <v>1424</v>
      </c>
      <c r="E241" s="52" t="s">
        <v>1425</v>
      </c>
      <c r="F241" s="53" t="s">
        <v>657</v>
      </c>
    </row>
    <row r="242" spans="1:6" x14ac:dyDescent="0.3">
      <c r="A242" s="52" t="s">
        <v>655</v>
      </c>
      <c r="B242" s="53" t="s">
        <v>656</v>
      </c>
      <c r="C242" s="52" t="s">
        <v>142</v>
      </c>
      <c r="D242" s="52" t="s">
        <v>1426</v>
      </c>
      <c r="E242" s="52" t="s">
        <v>1427</v>
      </c>
      <c r="F242" s="53" t="s">
        <v>659</v>
      </c>
    </row>
    <row r="243" spans="1:6" x14ac:dyDescent="0.3">
      <c r="A243" s="52" t="s">
        <v>655</v>
      </c>
      <c r="B243" s="53" t="s">
        <v>656</v>
      </c>
      <c r="C243" s="52" t="s">
        <v>189</v>
      </c>
      <c r="D243" s="52" t="s">
        <v>1428</v>
      </c>
      <c r="E243" s="52" t="s">
        <v>1429</v>
      </c>
      <c r="F243" s="53" t="s">
        <v>661</v>
      </c>
    </row>
    <row r="244" spans="1:6" x14ac:dyDescent="0.3">
      <c r="A244" s="52" t="s">
        <v>655</v>
      </c>
      <c r="B244" s="53" t="s">
        <v>656</v>
      </c>
      <c r="C244" s="52" t="s">
        <v>195</v>
      </c>
      <c r="D244" s="52" t="s">
        <v>1430</v>
      </c>
      <c r="E244" s="52" t="s">
        <v>1431</v>
      </c>
      <c r="F244" s="53" t="s">
        <v>663</v>
      </c>
    </row>
    <row r="245" spans="1:6" x14ac:dyDescent="0.3">
      <c r="A245" s="52" t="s">
        <v>665</v>
      </c>
      <c r="B245" s="53" t="s">
        <v>666</v>
      </c>
      <c r="C245" s="52" t="s">
        <v>105</v>
      </c>
      <c r="D245" s="52" t="s">
        <v>1432</v>
      </c>
      <c r="E245" s="52" t="s">
        <v>1433</v>
      </c>
      <c r="F245" s="53" t="s">
        <v>667</v>
      </c>
    </row>
    <row r="246" spans="1:6" x14ac:dyDescent="0.3">
      <c r="A246" s="52" t="s">
        <v>665</v>
      </c>
      <c r="B246" s="53" t="s">
        <v>666</v>
      </c>
      <c r="C246" s="52" t="s">
        <v>127</v>
      </c>
      <c r="D246" s="52" t="s">
        <v>1432</v>
      </c>
      <c r="E246" s="52" t="s">
        <v>1434</v>
      </c>
      <c r="F246" s="53" t="s">
        <v>669</v>
      </c>
    </row>
    <row r="247" spans="1:6" x14ac:dyDescent="0.3">
      <c r="A247" s="52" t="s">
        <v>665</v>
      </c>
      <c r="B247" s="53" t="s">
        <v>666</v>
      </c>
      <c r="C247" s="52" t="s">
        <v>243</v>
      </c>
      <c r="D247" s="52" t="s">
        <v>1435</v>
      </c>
      <c r="E247" s="52" t="s">
        <v>1436</v>
      </c>
      <c r="F247" s="53" t="s">
        <v>671</v>
      </c>
    </row>
    <row r="248" spans="1:6" x14ac:dyDescent="0.3">
      <c r="A248" s="52" t="s">
        <v>665</v>
      </c>
      <c r="B248" s="53" t="s">
        <v>666</v>
      </c>
      <c r="C248" s="52" t="s">
        <v>133</v>
      </c>
      <c r="D248" s="52" t="s">
        <v>1437</v>
      </c>
      <c r="E248" s="52" t="s">
        <v>1438</v>
      </c>
      <c r="F248" s="53" t="s">
        <v>673</v>
      </c>
    </row>
    <row r="249" spans="1:6" x14ac:dyDescent="0.3">
      <c r="A249" s="52" t="s">
        <v>665</v>
      </c>
      <c r="B249" s="53" t="s">
        <v>666</v>
      </c>
      <c r="C249" s="52" t="s">
        <v>139</v>
      </c>
      <c r="D249" s="52" t="s">
        <v>1439</v>
      </c>
      <c r="E249" s="52" t="s">
        <v>1440</v>
      </c>
      <c r="F249" s="53" t="s">
        <v>675</v>
      </c>
    </row>
    <row r="250" spans="1:6" x14ac:dyDescent="0.3">
      <c r="A250" s="52" t="s">
        <v>665</v>
      </c>
      <c r="B250" s="53" t="s">
        <v>666</v>
      </c>
      <c r="C250" s="52" t="s">
        <v>142</v>
      </c>
      <c r="D250" s="52" t="s">
        <v>1441</v>
      </c>
      <c r="E250" s="52" t="s">
        <v>1442</v>
      </c>
      <c r="F250" s="53" t="s">
        <v>677</v>
      </c>
    </row>
    <row r="251" spans="1:6" x14ac:dyDescent="0.3">
      <c r="A251" s="52" t="s">
        <v>665</v>
      </c>
      <c r="B251" s="53" t="s">
        <v>666</v>
      </c>
      <c r="C251" s="52" t="s">
        <v>393</v>
      </c>
      <c r="D251" s="52" t="s">
        <v>1443</v>
      </c>
      <c r="E251" s="52" t="s">
        <v>1444</v>
      </c>
      <c r="F251" s="53" t="s">
        <v>679</v>
      </c>
    </row>
    <row r="252" spans="1:6" x14ac:dyDescent="0.3">
      <c r="A252" s="52" t="s">
        <v>665</v>
      </c>
      <c r="B252" s="53" t="s">
        <v>666</v>
      </c>
      <c r="C252" s="52" t="s">
        <v>148</v>
      </c>
      <c r="D252" s="52" t="s">
        <v>1445</v>
      </c>
      <c r="E252" s="52" t="s">
        <v>1446</v>
      </c>
      <c r="F252" s="53" t="s">
        <v>681</v>
      </c>
    </row>
    <row r="253" spans="1:6" x14ac:dyDescent="0.3">
      <c r="A253" s="52" t="s">
        <v>665</v>
      </c>
      <c r="B253" s="53" t="s">
        <v>666</v>
      </c>
      <c r="C253" s="52" t="s">
        <v>195</v>
      </c>
      <c r="D253" s="52" t="s">
        <v>1447</v>
      </c>
      <c r="E253" s="52" t="s">
        <v>1448</v>
      </c>
      <c r="F253" s="53" t="s">
        <v>683</v>
      </c>
    </row>
    <row r="254" spans="1:6" x14ac:dyDescent="0.3">
      <c r="A254" s="52" t="s">
        <v>665</v>
      </c>
      <c r="B254" s="53" t="s">
        <v>666</v>
      </c>
      <c r="C254" s="52" t="s">
        <v>419</v>
      </c>
      <c r="D254" s="52" t="s">
        <v>1449</v>
      </c>
      <c r="E254" s="52" t="s">
        <v>1450</v>
      </c>
      <c r="F254" s="53" t="s">
        <v>685</v>
      </c>
    </row>
    <row r="255" spans="1:6" x14ac:dyDescent="0.3">
      <c r="A255" s="52" t="s">
        <v>687</v>
      </c>
      <c r="B255" s="53" t="s">
        <v>688</v>
      </c>
      <c r="C255" s="52" t="s">
        <v>211</v>
      </c>
      <c r="D255" s="52" t="s">
        <v>1451</v>
      </c>
      <c r="E255" s="52" t="s">
        <v>1452</v>
      </c>
      <c r="F255" s="53" t="s">
        <v>689</v>
      </c>
    </row>
    <row r="256" spans="1:6" x14ac:dyDescent="0.3">
      <c r="A256" s="52" t="s">
        <v>687</v>
      </c>
      <c r="B256" s="53" t="s">
        <v>688</v>
      </c>
      <c r="C256" s="52" t="s">
        <v>142</v>
      </c>
      <c r="D256" s="52" t="s">
        <v>1453</v>
      </c>
      <c r="E256" s="52" t="s">
        <v>1454</v>
      </c>
      <c r="F256" s="53" t="s">
        <v>691</v>
      </c>
    </row>
    <row r="257" spans="1:6" x14ac:dyDescent="0.3">
      <c r="A257" s="52" t="s">
        <v>687</v>
      </c>
      <c r="B257" s="53" t="s">
        <v>688</v>
      </c>
      <c r="C257" s="52" t="s">
        <v>168</v>
      </c>
      <c r="D257" s="52" t="s">
        <v>1455</v>
      </c>
      <c r="E257" s="52" t="s">
        <v>1456</v>
      </c>
      <c r="F257" s="53" t="s">
        <v>693</v>
      </c>
    </row>
    <row r="258" spans="1:6" x14ac:dyDescent="0.3">
      <c r="A258" s="52" t="s">
        <v>687</v>
      </c>
      <c r="B258" s="53" t="s">
        <v>688</v>
      </c>
      <c r="C258" s="52" t="s">
        <v>189</v>
      </c>
      <c r="D258" s="52" t="s">
        <v>1457</v>
      </c>
      <c r="E258" s="52" t="s">
        <v>1458</v>
      </c>
      <c r="F258" s="53" t="s">
        <v>695</v>
      </c>
    </row>
    <row r="259" spans="1:6" x14ac:dyDescent="0.3">
      <c r="A259" s="52" t="s">
        <v>697</v>
      </c>
      <c r="B259" s="53" t="s">
        <v>698</v>
      </c>
      <c r="C259" s="52" t="s">
        <v>102</v>
      </c>
      <c r="D259" s="52" t="s">
        <v>1459</v>
      </c>
      <c r="E259" s="52" t="s">
        <v>1460</v>
      </c>
      <c r="F259" s="53" t="s">
        <v>699</v>
      </c>
    </row>
    <row r="260" spans="1:6" x14ac:dyDescent="0.3">
      <c r="A260" s="52" t="s">
        <v>697</v>
      </c>
      <c r="B260" s="53" t="s">
        <v>698</v>
      </c>
      <c r="C260" s="52" t="s">
        <v>105</v>
      </c>
      <c r="D260" s="52" t="s">
        <v>1461</v>
      </c>
      <c r="E260" s="52" t="s">
        <v>1462</v>
      </c>
      <c r="F260" s="53" t="s">
        <v>701</v>
      </c>
    </row>
    <row r="261" spans="1:6" x14ac:dyDescent="0.3">
      <c r="A261" s="52" t="s">
        <v>697</v>
      </c>
      <c r="B261" s="53" t="s">
        <v>698</v>
      </c>
      <c r="C261" s="52" t="s">
        <v>108</v>
      </c>
      <c r="D261" s="52" t="s">
        <v>1463</v>
      </c>
      <c r="E261" s="52" t="s">
        <v>1464</v>
      </c>
      <c r="F261" s="53" t="s">
        <v>703</v>
      </c>
    </row>
    <row r="262" spans="1:6" x14ac:dyDescent="0.3">
      <c r="A262" s="52" t="s">
        <v>697</v>
      </c>
      <c r="B262" s="53" t="s">
        <v>698</v>
      </c>
      <c r="C262" s="52" t="s">
        <v>118</v>
      </c>
      <c r="D262" s="52" t="s">
        <v>1465</v>
      </c>
      <c r="E262" s="52" t="s">
        <v>1466</v>
      </c>
      <c r="F262" s="53" t="s">
        <v>705</v>
      </c>
    </row>
    <row r="263" spans="1:6" x14ac:dyDescent="0.3">
      <c r="A263" s="52" t="s">
        <v>697</v>
      </c>
      <c r="B263" s="53" t="s">
        <v>698</v>
      </c>
      <c r="C263" s="52" t="s">
        <v>145</v>
      </c>
      <c r="D263" s="52" t="s">
        <v>1467</v>
      </c>
      <c r="E263" s="52" t="s">
        <v>1468</v>
      </c>
      <c r="F263" s="53" t="s">
        <v>707</v>
      </c>
    </row>
    <row r="264" spans="1:6" x14ac:dyDescent="0.3">
      <c r="A264" s="52" t="s">
        <v>709</v>
      </c>
      <c r="B264" s="53" t="s">
        <v>710</v>
      </c>
      <c r="C264" s="52" t="s">
        <v>118</v>
      </c>
      <c r="D264" s="52" t="s">
        <v>1469</v>
      </c>
      <c r="E264" s="52" t="s">
        <v>1470</v>
      </c>
      <c r="F264" s="53" t="s">
        <v>711</v>
      </c>
    </row>
    <row r="265" spans="1:6" x14ac:dyDescent="0.3">
      <c r="A265" s="52" t="s">
        <v>709</v>
      </c>
      <c r="B265" s="53" t="s">
        <v>710</v>
      </c>
      <c r="C265" s="52" t="s">
        <v>133</v>
      </c>
      <c r="D265" s="52" t="s">
        <v>1471</v>
      </c>
      <c r="E265" s="52" t="s">
        <v>1472</v>
      </c>
      <c r="F265" s="53" t="s">
        <v>713</v>
      </c>
    </row>
    <row r="266" spans="1:6" x14ac:dyDescent="0.3">
      <c r="A266" s="52" t="s">
        <v>709</v>
      </c>
      <c r="B266" s="53" t="s">
        <v>710</v>
      </c>
      <c r="C266" s="52" t="s">
        <v>160</v>
      </c>
      <c r="D266" s="52" t="s">
        <v>1473</v>
      </c>
      <c r="E266" s="52" t="s">
        <v>1474</v>
      </c>
      <c r="F266" s="53" t="s">
        <v>715</v>
      </c>
    </row>
    <row r="267" spans="1:6" x14ac:dyDescent="0.3">
      <c r="A267" s="52" t="s">
        <v>709</v>
      </c>
      <c r="B267" s="53" t="s">
        <v>710</v>
      </c>
      <c r="C267" s="52" t="s">
        <v>139</v>
      </c>
      <c r="D267" s="52" t="s">
        <v>1475</v>
      </c>
      <c r="E267" s="52" t="s">
        <v>1476</v>
      </c>
      <c r="F267" s="53" t="s">
        <v>717</v>
      </c>
    </row>
    <row r="268" spans="1:6" x14ac:dyDescent="0.3">
      <c r="A268" s="52" t="s">
        <v>719</v>
      </c>
      <c r="B268" s="53" t="s">
        <v>720</v>
      </c>
      <c r="C268" s="52" t="s">
        <v>127</v>
      </c>
      <c r="D268" s="52" t="s">
        <v>1477</v>
      </c>
      <c r="E268" s="52" t="s">
        <v>1478</v>
      </c>
      <c r="F268" s="53" t="s">
        <v>721</v>
      </c>
    </row>
    <row r="269" spans="1:6" x14ac:dyDescent="0.3">
      <c r="A269" s="52" t="s">
        <v>719</v>
      </c>
      <c r="B269" s="53" t="s">
        <v>720</v>
      </c>
      <c r="C269" s="52" t="s">
        <v>160</v>
      </c>
      <c r="D269" s="52" t="s">
        <v>1479</v>
      </c>
      <c r="E269" s="52" t="s">
        <v>1480</v>
      </c>
      <c r="F269" s="53" t="s">
        <v>723</v>
      </c>
    </row>
    <row r="270" spans="1:6" x14ac:dyDescent="0.3">
      <c r="A270" s="52" t="s">
        <v>719</v>
      </c>
      <c r="B270" s="53" t="s">
        <v>720</v>
      </c>
      <c r="C270" s="52" t="s">
        <v>139</v>
      </c>
      <c r="D270" s="52" t="s">
        <v>1481</v>
      </c>
      <c r="E270" s="52" t="s">
        <v>1482</v>
      </c>
      <c r="F270" s="53" t="s">
        <v>725</v>
      </c>
    </row>
    <row r="271" spans="1:6" x14ac:dyDescent="0.3">
      <c r="A271" s="52" t="s">
        <v>719</v>
      </c>
      <c r="B271" s="53" t="s">
        <v>720</v>
      </c>
      <c r="C271" s="52" t="s">
        <v>145</v>
      </c>
      <c r="D271" s="52" t="s">
        <v>1483</v>
      </c>
      <c r="E271" s="52" t="s">
        <v>1484</v>
      </c>
      <c r="F271" s="53" t="s">
        <v>727</v>
      </c>
    </row>
    <row r="272" spans="1:6" x14ac:dyDescent="0.3">
      <c r="A272" s="52" t="s">
        <v>729</v>
      </c>
      <c r="B272" s="53" t="s">
        <v>730</v>
      </c>
      <c r="C272" s="52" t="s">
        <v>142</v>
      </c>
      <c r="D272" s="52" t="s">
        <v>1485</v>
      </c>
      <c r="E272" s="52" t="s">
        <v>1486</v>
      </c>
      <c r="F272" s="53" t="s">
        <v>731</v>
      </c>
    </row>
    <row r="273" spans="1:6" x14ac:dyDescent="0.3">
      <c r="A273" s="52" t="s">
        <v>729</v>
      </c>
      <c r="B273" s="53" t="s">
        <v>730</v>
      </c>
      <c r="C273" s="52" t="s">
        <v>189</v>
      </c>
      <c r="D273" s="52" t="s">
        <v>1487</v>
      </c>
      <c r="E273" s="52" t="s">
        <v>1488</v>
      </c>
      <c r="F273" s="53" t="s">
        <v>733</v>
      </c>
    </row>
    <row r="274" spans="1:6" x14ac:dyDescent="0.3">
      <c r="A274" s="52" t="s">
        <v>729</v>
      </c>
      <c r="B274" s="53" t="s">
        <v>730</v>
      </c>
      <c r="C274" s="52" t="s">
        <v>195</v>
      </c>
      <c r="D274" s="52" t="s">
        <v>1489</v>
      </c>
      <c r="E274" s="52" t="s">
        <v>1490</v>
      </c>
      <c r="F274" s="53" t="s">
        <v>735</v>
      </c>
    </row>
    <row r="275" spans="1:6" x14ac:dyDescent="0.3">
      <c r="A275" s="52" t="s">
        <v>737</v>
      </c>
      <c r="B275" s="53" t="s">
        <v>738</v>
      </c>
      <c r="C275" s="52" t="s">
        <v>105</v>
      </c>
      <c r="D275" s="52" t="s">
        <v>1491</v>
      </c>
      <c r="E275" s="52" t="s">
        <v>1492</v>
      </c>
      <c r="F275" s="53" t="s">
        <v>739</v>
      </c>
    </row>
    <row r="276" spans="1:6" x14ac:dyDescent="0.3">
      <c r="A276" s="52" t="s">
        <v>737</v>
      </c>
      <c r="B276" s="53" t="s">
        <v>738</v>
      </c>
      <c r="C276" s="52" t="s">
        <v>108</v>
      </c>
      <c r="D276" s="52" t="s">
        <v>1493</v>
      </c>
      <c r="E276" s="52" t="s">
        <v>1494</v>
      </c>
      <c r="F276" s="53" t="s">
        <v>741</v>
      </c>
    </row>
    <row r="277" spans="1:6" x14ac:dyDescent="0.3">
      <c r="A277" s="52" t="s">
        <v>737</v>
      </c>
      <c r="B277" s="53" t="s">
        <v>738</v>
      </c>
      <c r="C277" s="52" t="s">
        <v>118</v>
      </c>
      <c r="D277" s="52" t="s">
        <v>1495</v>
      </c>
      <c r="E277" s="52" t="s">
        <v>1496</v>
      </c>
      <c r="F277" s="53" t="s">
        <v>743</v>
      </c>
    </row>
    <row r="278" spans="1:6" x14ac:dyDescent="0.3">
      <c r="A278" s="52" t="s">
        <v>737</v>
      </c>
      <c r="B278" s="53" t="s">
        <v>738</v>
      </c>
      <c r="C278" s="52" t="s">
        <v>121</v>
      </c>
      <c r="D278" s="52" t="s">
        <v>1497</v>
      </c>
      <c r="E278" s="52" t="s">
        <v>1498</v>
      </c>
      <c r="F278" s="53" t="s">
        <v>745</v>
      </c>
    </row>
    <row r="279" spans="1:6" x14ac:dyDescent="0.3">
      <c r="A279" s="52" t="s">
        <v>737</v>
      </c>
      <c r="B279" s="53" t="s">
        <v>738</v>
      </c>
      <c r="C279" s="52" t="s">
        <v>133</v>
      </c>
      <c r="D279" s="52" t="s">
        <v>1499</v>
      </c>
      <c r="E279" s="52" t="s">
        <v>1500</v>
      </c>
      <c r="F279" s="53" t="s">
        <v>747</v>
      </c>
    </row>
    <row r="280" spans="1:6" x14ac:dyDescent="0.3">
      <c r="A280" s="52" t="s">
        <v>737</v>
      </c>
      <c r="B280" s="53" t="s">
        <v>738</v>
      </c>
      <c r="C280" s="52" t="s">
        <v>142</v>
      </c>
      <c r="D280" s="52" t="s">
        <v>1501</v>
      </c>
      <c r="E280" s="52" t="s">
        <v>1502</v>
      </c>
      <c r="F280" s="53" t="s">
        <v>749</v>
      </c>
    </row>
    <row r="281" spans="1:6" x14ac:dyDescent="0.3">
      <c r="A281" s="52" t="s">
        <v>737</v>
      </c>
      <c r="B281" s="53" t="s">
        <v>738</v>
      </c>
      <c r="C281" s="52" t="s">
        <v>195</v>
      </c>
      <c r="D281" s="52" t="s">
        <v>1503</v>
      </c>
      <c r="E281" s="52" t="s">
        <v>1504</v>
      </c>
      <c r="F281" s="53" t="s">
        <v>751</v>
      </c>
    </row>
    <row r="282" spans="1:6" x14ac:dyDescent="0.3">
      <c r="A282" s="52" t="s">
        <v>737</v>
      </c>
      <c r="B282" s="53" t="s">
        <v>738</v>
      </c>
      <c r="C282" s="52" t="s">
        <v>151</v>
      </c>
      <c r="D282" s="52" t="s">
        <v>1505</v>
      </c>
      <c r="E282" s="52" t="s">
        <v>1506</v>
      </c>
      <c r="F282" s="53" t="s">
        <v>753</v>
      </c>
    </row>
    <row r="283" spans="1:6" x14ac:dyDescent="0.3">
      <c r="A283" s="52" t="s">
        <v>755</v>
      </c>
      <c r="B283" s="53" t="s">
        <v>756</v>
      </c>
      <c r="C283" s="52" t="s">
        <v>102</v>
      </c>
      <c r="D283" s="52" t="s">
        <v>1507</v>
      </c>
      <c r="E283" s="52" t="s">
        <v>1508</v>
      </c>
      <c r="F283" s="53" t="s">
        <v>757</v>
      </c>
    </row>
    <row r="284" spans="1:6" x14ac:dyDescent="0.3">
      <c r="A284" s="52" t="s">
        <v>755</v>
      </c>
      <c r="B284" s="53" t="s">
        <v>756</v>
      </c>
      <c r="C284" s="52" t="s">
        <v>105</v>
      </c>
      <c r="D284" s="52" t="s">
        <v>1509</v>
      </c>
      <c r="E284" s="52" t="s">
        <v>1510</v>
      </c>
      <c r="F284" s="53" t="s">
        <v>759</v>
      </c>
    </row>
    <row r="285" spans="1:6" x14ac:dyDescent="0.3">
      <c r="A285" s="52" t="s">
        <v>755</v>
      </c>
      <c r="B285" s="53" t="s">
        <v>756</v>
      </c>
      <c r="C285" s="52" t="s">
        <v>118</v>
      </c>
      <c r="D285" s="52" t="s">
        <v>1511</v>
      </c>
      <c r="E285" s="52" t="s">
        <v>1512</v>
      </c>
      <c r="F285" s="53" t="s">
        <v>761</v>
      </c>
    </row>
    <row r="286" spans="1:6" x14ac:dyDescent="0.3">
      <c r="A286" s="52" t="s">
        <v>755</v>
      </c>
      <c r="B286" s="53" t="s">
        <v>756</v>
      </c>
      <c r="C286" s="52" t="s">
        <v>124</v>
      </c>
      <c r="D286" s="52" t="s">
        <v>1513</v>
      </c>
      <c r="E286" s="52" t="s">
        <v>1514</v>
      </c>
      <c r="F286" s="53" t="s">
        <v>763</v>
      </c>
    </row>
    <row r="287" spans="1:6" x14ac:dyDescent="0.3">
      <c r="A287" s="52" t="s">
        <v>765</v>
      </c>
      <c r="B287" s="53" t="s">
        <v>766</v>
      </c>
      <c r="C287" s="52" t="s">
        <v>102</v>
      </c>
      <c r="D287" s="52" t="s">
        <v>1011</v>
      </c>
      <c r="E287" s="52" t="s">
        <v>1012</v>
      </c>
      <c r="F287" s="53" t="s">
        <v>767</v>
      </c>
    </row>
    <row r="288" spans="1:6" x14ac:dyDescent="0.3">
      <c r="A288" s="52" t="s">
        <v>765</v>
      </c>
      <c r="B288" s="53" t="s">
        <v>766</v>
      </c>
      <c r="C288" s="52" t="s">
        <v>105</v>
      </c>
      <c r="D288" s="52" t="s">
        <v>1013</v>
      </c>
      <c r="E288" s="52" t="s">
        <v>1014</v>
      </c>
      <c r="F288" s="53" t="s">
        <v>769</v>
      </c>
    </row>
    <row r="289" spans="1:6" x14ac:dyDescent="0.3">
      <c r="A289" s="52" t="s">
        <v>765</v>
      </c>
      <c r="B289" s="53" t="s">
        <v>766</v>
      </c>
      <c r="C289" s="52" t="s">
        <v>118</v>
      </c>
      <c r="D289" s="52" t="s">
        <v>1015</v>
      </c>
      <c r="E289" s="52" t="s">
        <v>1016</v>
      </c>
      <c r="F289" s="53" t="s">
        <v>771</v>
      </c>
    </row>
    <row r="290" spans="1:6" x14ac:dyDescent="0.3">
      <c r="A290" s="52" t="s">
        <v>765</v>
      </c>
      <c r="B290" s="53" t="s">
        <v>766</v>
      </c>
      <c r="C290" s="52" t="s">
        <v>121</v>
      </c>
      <c r="D290" s="52" t="s">
        <v>1017</v>
      </c>
      <c r="E290" s="52" t="s">
        <v>1018</v>
      </c>
      <c r="F290" s="53" t="s">
        <v>122</v>
      </c>
    </row>
    <row r="291" spans="1:6" x14ac:dyDescent="0.3">
      <c r="A291" s="52" t="s">
        <v>765</v>
      </c>
      <c r="B291" s="53" t="s">
        <v>766</v>
      </c>
      <c r="C291" s="52" t="s">
        <v>124</v>
      </c>
      <c r="D291" s="52" t="s">
        <v>1019</v>
      </c>
      <c r="E291" s="52" t="s">
        <v>1020</v>
      </c>
      <c r="F291" s="53" t="s">
        <v>774</v>
      </c>
    </row>
    <row r="292" spans="1:6" x14ac:dyDescent="0.3">
      <c r="A292" s="52" t="s">
        <v>765</v>
      </c>
      <c r="B292" s="53" t="s">
        <v>766</v>
      </c>
      <c r="C292" s="52" t="s">
        <v>127</v>
      </c>
      <c r="D292" s="52" t="s">
        <v>1021</v>
      </c>
      <c r="E292" s="52" t="s">
        <v>1022</v>
      </c>
      <c r="F292" s="53" t="s">
        <v>128</v>
      </c>
    </row>
    <row r="293" spans="1:6" x14ac:dyDescent="0.3">
      <c r="A293" s="52" t="s">
        <v>765</v>
      </c>
      <c r="B293" s="53" t="s">
        <v>766</v>
      </c>
      <c r="C293" s="52" t="s">
        <v>130</v>
      </c>
      <c r="D293" s="52" t="s">
        <v>1023</v>
      </c>
      <c r="E293" s="52" t="s">
        <v>1024</v>
      </c>
      <c r="F293" s="53" t="s">
        <v>777</v>
      </c>
    </row>
    <row r="294" spans="1:6" x14ac:dyDescent="0.3">
      <c r="A294" s="52" t="s">
        <v>765</v>
      </c>
      <c r="B294" s="53" t="s">
        <v>766</v>
      </c>
      <c r="C294" s="52" t="s">
        <v>133</v>
      </c>
      <c r="D294" s="52" t="s">
        <v>1025</v>
      </c>
      <c r="E294" s="52" t="s">
        <v>1026</v>
      </c>
      <c r="F294" s="53" t="s">
        <v>134</v>
      </c>
    </row>
    <row r="295" spans="1:6" x14ac:dyDescent="0.3">
      <c r="A295" s="52" t="s">
        <v>765</v>
      </c>
      <c r="B295" s="53" t="s">
        <v>766</v>
      </c>
      <c r="C295" s="52" t="s">
        <v>136</v>
      </c>
      <c r="D295" s="52" t="s">
        <v>1027</v>
      </c>
      <c r="E295" s="52" t="s">
        <v>1028</v>
      </c>
      <c r="F295" s="53" t="s">
        <v>137</v>
      </c>
    </row>
    <row r="296" spans="1:6" x14ac:dyDescent="0.3">
      <c r="A296" s="52" t="s">
        <v>765</v>
      </c>
      <c r="B296" s="53" t="s">
        <v>766</v>
      </c>
      <c r="C296" s="52" t="s">
        <v>139</v>
      </c>
      <c r="D296" s="52" t="s">
        <v>1029</v>
      </c>
      <c r="E296" s="52" t="s">
        <v>1030</v>
      </c>
      <c r="F296" s="53" t="s">
        <v>140</v>
      </c>
    </row>
    <row r="297" spans="1:6" x14ac:dyDescent="0.3">
      <c r="A297" s="52" t="s">
        <v>765</v>
      </c>
      <c r="B297" s="53" t="s">
        <v>766</v>
      </c>
      <c r="C297" s="52" t="s">
        <v>782</v>
      </c>
      <c r="D297" s="52" t="s">
        <v>1515</v>
      </c>
      <c r="E297" s="52" t="s">
        <v>1516</v>
      </c>
      <c r="F297" s="53" t="s">
        <v>783</v>
      </c>
    </row>
    <row r="298" spans="1:6" x14ac:dyDescent="0.3">
      <c r="A298" s="52" t="s">
        <v>765</v>
      </c>
      <c r="B298" s="53" t="s">
        <v>766</v>
      </c>
      <c r="C298" s="52" t="s">
        <v>142</v>
      </c>
      <c r="D298" s="52" t="s">
        <v>1031</v>
      </c>
      <c r="E298" s="52" t="s">
        <v>1032</v>
      </c>
      <c r="F298" s="53" t="s">
        <v>143</v>
      </c>
    </row>
    <row r="299" spans="1:6" x14ac:dyDescent="0.3">
      <c r="A299" s="52" t="s">
        <v>765</v>
      </c>
      <c r="B299" s="53" t="s">
        <v>766</v>
      </c>
      <c r="C299" s="52" t="s">
        <v>163</v>
      </c>
      <c r="D299" s="52" t="s">
        <v>1517</v>
      </c>
      <c r="E299" s="52" t="s">
        <v>1518</v>
      </c>
      <c r="F299" s="53" t="s">
        <v>786</v>
      </c>
    </row>
    <row r="300" spans="1:6" x14ac:dyDescent="0.3">
      <c r="A300" s="52" t="s">
        <v>765</v>
      </c>
      <c r="B300" s="53" t="s">
        <v>766</v>
      </c>
      <c r="C300" s="52" t="s">
        <v>145</v>
      </c>
      <c r="D300" s="52" t="s">
        <v>1033</v>
      </c>
      <c r="E300" s="52" t="s">
        <v>1034</v>
      </c>
      <c r="F300" s="53" t="s">
        <v>146</v>
      </c>
    </row>
    <row r="301" spans="1:6" x14ac:dyDescent="0.3">
      <c r="A301" s="52" t="s">
        <v>765</v>
      </c>
      <c r="B301" s="53" t="s">
        <v>766</v>
      </c>
      <c r="C301" s="52" t="s">
        <v>168</v>
      </c>
      <c r="D301" s="52" t="s">
        <v>1519</v>
      </c>
      <c r="E301" s="52" t="s">
        <v>1520</v>
      </c>
      <c r="F301" s="53" t="s">
        <v>789</v>
      </c>
    </row>
    <row r="302" spans="1:6" x14ac:dyDescent="0.3">
      <c r="A302" s="52" t="s">
        <v>765</v>
      </c>
      <c r="B302" s="53" t="s">
        <v>766</v>
      </c>
      <c r="C302" s="52" t="s">
        <v>148</v>
      </c>
      <c r="D302" s="52" t="s">
        <v>1035</v>
      </c>
      <c r="E302" s="52" t="s">
        <v>1036</v>
      </c>
      <c r="F302" s="53" t="s">
        <v>149</v>
      </c>
    </row>
    <row r="303" spans="1:6" x14ac:dyDescent="0.3">
      <c r="A303" s="52" t="s">
        <v>765</v>
      </c>
      <c r="B303" s="53" t="s">
        <v>766</v>
      </c>
      <c r="C303" s="52" t="s">
        <v>195</v>
      </c>
      <c r="D303" s="52" t="s">
        <v>1521</v>
      </c>
      <c r="E303" s="52" t="s">
        <v>1522</v>
      </c>
      <c r="F303" s="53" t="s">
        <v>792</v>
      </c>
    </row>
    <row r="304" spans="1:6" x14ac:dyDescent="0.3">
      <c r="A304" s="52" t="s">
        <v>765</v>
      </c>
      <c r="B304" s="53" t="s">
        <v>766</v>
      </c>
      <c r="C304" s="52" t="s">
        <v>220</v>
      </c>
      <c r="D304" s="52" t="s">
        <v>1523</v>
      </c>
      <c r="E304" s="52" t="s">
        <v>1524</v>
      </c>
      <c r="F304" s="53" t="s">
        <v>794</v>
      </c>
    </row>
    <row r="305" spans="1:6" x14ac:dyDescent="0.3">
      <c r="A305" s="52" t="s">
        <v>765</v>
      </c>
      <c r="B305" s="53" t="s">
        <v>766</v>
      </c>
      <c r="C305" s="52" t="s">
        <v>151</v>
      </c>
      <c r="D305" s="52" t="s">
        <v>1037</v>
      </c>
      <c r="E305" s="52" t="s">
        <v>1038</v>
      </c>
      <c r="F305" s="53" t="s">
        <v>152</v>
      </c>
    </row>
    <row r="306" spans="1:6" x14ac:dyDescent="0.3">
      <c r="A306" s="52" t="s">
        <v>797</v>
      </c>
      <c r="B306" s="53" t="s">
        <v>798</v>
      </c>
      <c r="C306" s="52" t="s">
        <v>121</v>
      </c>
      <c r="D306" s="52" t="s">
        <v>1525</v>
      </c>
      <c r="E306" s="52" t="s">
        <v>1526</v>
      </c>
      <c r="F306" s="53" t="s">
        <v>799</v>
      </c>
    </row>
    <row r="307" spans="1:6" x14ac:dyDescent="0.3">
      <c r="A307" s="52" t="s">
        <v>797</v>
      </c>
      <c r="B307" s="53" t="s">
        <v>798</v>
      </c>
      <c r="C307" s="52" t="s">
        <v>142</v>
      </c>
      <c r="D307" s="52" t="s">
        <v>1527</v>
      </c>
      <c r="E307" s="52" t="s">
        <v>1238</v>
      </c>
      <c r="F307" s="53" t="s">
        <v>801</v>
      </c>
    </row>
    <row r="308" spans="1:6" x14ac:dyDescent="0.3">
      <c r="A308" s="52" t="s">
        <v>797</v>
      </c>
      <c r="B308" s="53" t="s">
        <v>798</v>
      </c>
      <c r="C308" s="52" t="s">
        <v>189</v>
      </c>
      <c r="D308" s="52" t="s">
        <v>1528</v>
      </c>
      <c r="E308" s="52" t="s">
        <v>1529</v>
      </c>
      <c r="F308" s="53" t="s">
        <v>803</v>
      </c>
    </row>
    <row r="309" spans="1:6" x14ac:dyDescent="0.3">
      <c r="A309" s="52" t="s">
        <v>797</v>
      </c>
      <c r="B309" s="53" t="s">
        <v>798</v>
      </c>
      <c r="C309" s="52" t="s">
        <v>195</v>
      </c>
      <c r="D309" s="52" t="s">
        <v>1530</v>
      </c>
      <c r="E309" s="52" t="s">
        <v>1531</v>
      </c>
      <c r="F309" s="53" t="s">
        <v>805</v>
      </c>
    </row>
    <row r="310" spans="1:6" x14ac:dyDescent="0.3">
      <c r="A310" s="52" t="s">
        <v>807</v>
      </c>
      <c r="B310" s="53" t="s">
        <v>808</v>
      </c>
      <c r="C310" s="52" t="s">
        <v>127</v>
      </c>
      <c r="D310" s="52" t="s">
        <v>1532</v>
      </c>
      <c r="E310" s="52" t="s">
        <v>1533</v>
      </c>
      <c r="F310" s="53" t="s">
        <v>809</v>
      </c>
    </row>
    <row r="311" spans="1:6" x14ac:dyDescent="0.3">
      <c r="A311" s="52" t="s">
        <v>807</v>
      </c>
      <c r="B311" s="53" t="s">
        <v>808</v>
      </c>
      <c r="C311" s="52" t="s">
        <v>133</v>
      </c>
      <c r="D311" s="52" t="s">
        <v>1534</v>
      </c>
      <c r="E311" s="52" t="s">
        <v>1535</v>
      </c>
      <c r="F311" s="53" t="s">
        <v>811</v>
      </c>
    </row>
    <row r="312" spans="1:6" x14ac:dyDescent="0.3">
      <c r="A312" s="52" t="s">
        <v>807</v>
      </c>
      <c r="B312" s="53" t="s">
        <v>808</v>
      </c>
      <c r="C312" s="52" t="s">
        <v>142</v>
      </c>
      <c r="D312" s="52" t="s">
        <v>1536</v>
      </c>
      <c r="E312" s="52" t="s">
        <v>1293</v>
      </c>
      <c r="F312" s="53" t="s">
        <v>813</v>
      </c>
    </row>
    <row r="313" spans="1:6" x14ac:dyDescent="0.3">
      <c r="A313" s="52" t="s">
        <v>807</v>
      </c>
      <c r="B313" s="53" t="s">
        <v>808</v>
      </c>
      <c r="C313" s="52" t="s">
        <v>168</v>
      </c>
      <c r="D313" s="52" t="s">
        <v>1537</v>
      </c>
      <c r="E313" s="52" t="s">
        <v>1538</v>
      </c>
      <c r="F313" s="53" t="s">
        <v>815</v>
      </c>
    </row>
    <row r="314" spans="1:6" x14ac:dyDescent="0.3">
      <c r="A314" s="52" t="s">
        <v>807</v>
      </c>
      <c r="B314" s="53" t="s">
        <v>808</v>
      </c>
      <c r="C314" s="52" t="s">
        <v>189</v>
      </c>
      <c r="D314" s="52" t="s">
        <v>1539</v>
      </c>
      <c r="E314" s="52" t="s">
        <v>1540</v>
      </c>
      <c r="F314" s="53" t="s">
        <v>817</v>
      </c>
    </row>
    <row r="315" spans="1:6" x14ac:dyDescent="0.3">
      <c r="A315" s="52" t="s">
        <v>807</v>
      </c>
      <c r="B315" s="53" t="s">
        <v>808</v>
      </c>
      <c r="C315" s="52" t="s">
        <v>151</v>
      </c>
      <c r="D315" s="52" t="s">
        <v>1541</v>
      </c>
      <c r="E315" s="52" t="s">
        <v>1542</v>
      </c>
      <c r="F315" s="53" t="s">
        <v>819</v>
      </c>
    </row>
    <row r="316" spans="1:6" x14ac:dyDescent="0.3">
      <c r="A316" s="52" t="s">
        <v>821</v>
      </c>
      <c r="B316" s="53" t="s">
        <v>822</v>
      </c>
      <c r="C316" s="52" t="s">
        <v>118</v>
      </c>
      <c r="D316" s="52" t="s">
        <v>1543</v>
      </c>
      <c r="E316" s="52" t="s">
        <v>1544</v>
      </c>
      <c r="F316" s="53" t="s">
        <v>823</v>
      </c>
    </row>
    <row r="317" spans="1:6" x14ac:dyDescent="0.3">
      <c r="A317" s="52" t="s">
        <v>821</v>
      </c>
      <c r="B317" s="53" t="s">
        <v>822</v>
      </c>
      <c r="C317" s="52" t="s">
        <v>163</v>
      </c>
      <c r="D317" s="52" t="s">
        <v>1545</v>
      </c>
      <c r="E317" s="52" t="s">
        <v>1546</v>
      </c>
      <c r="F317" s="53" t="s">
        <v>825</v>
      </c>
    </row>
    <row r="318" spans="1:6" x14ac:dyDescent="0.3">
      <c r="A318" s="52" t="s">
        <v>821</v>
      </c>
      <c r="B318" s="53" t="s">
        <v>822</v>
      </c>
      <c r="C318" s="52" t="s">
        <v>168</v>
      </c>
      <c r="D318" s="52" t="s">
        <v>1537</v>
      </c>
      <c r="E318" s="52" t="s">
        <v>1538</v>
      </c>
      <c r="F318" s="53" t="s">
        <v>815</v>
      </c>
    </row>
    <row r="319" spans="1:6" x14ac:dyDescent="0.3">
      <c r="A319" s="52" t="s">
        <v>821</v>
      </c>
      <c r="B319" s="53" t="s">
        <v>822</v>
      </c>
      <c r="C319" s="52" t="s">
        <v>148</v>
      </c>
      <c r="D319" s="52" t="s">
        <v>1547</v>
      </c>
      <c r="E319" s="52" t="s">
        <v>1548</v>
      </c>
      <c r="F319" s="53" t="s">
        <v>828</v>
      </c>
    </row>
    <row r="320" spans="1:6" x14ac:dyDescent="0.3">
      <c r="A320" s="52" t="s">
        <v>821</v>
      </c>
      <c r="B320" s="53" t="s">
        <v>822</v>
      </c>
      <c r="C320" s="52" t="s">
        <v>151</v>
      </c>
      <c r="D320" s="52" t="s">
        <v>1541</v>
      </c>
      <c r="E320" s="52" t="s">
        <v>1542</v>
      </c>
      <c r="F320" s="53" t="s">
        <v>819</v>
      </c>
    </row>
    <row r="321" spans="1:6" x14ac:dyDescent="0.3">
      <c r="A321" s="52" t="s">
        <v>831</v>
      </c>
      <c r="B321" s="53" t="s">
        <v>832</v>
      </c>
      <c r="C321" s="52" t="s">
        <v>102</v>
      </c>
      <c r="D321" s="52" t="s">
        <v>1549</v>
      </c>
      <c r="E321" s="52" t="s">
        <v>1550</v>
      </c>
      <c r="F321" s="53" t="s">
        <v>833</v>
      </c>
    </row>
    <row r="322" spans="1:6" x14ac:dyDescent="0.3">
      <c r="A322" s="52" t="s">
        <v>831</v>
      </c>
      <c r="B322" s="53" t="s">
        <v>832</v>
      </c>
      <c r="C322" s="52" t="s">
        <v>105</v>
      </c>
      <c r="D322" s="52" t="s">
        <v>1551</v>
      </c>
      <c r="E322" s="52" t="s">
        <v>1552</v>
      </c>
      <c r="F322" s="53" t="s">
        <v>835</v>
      </c>
    </row>
    <row r="323" spans="1:6" x14ac:dyDescent="0.3">
      <c r="A323" s="52" t="s">
        <v>831</v>
      </c>
      <c r="B323" s="53" t="s">
        <v>832</v>
      </c>
      <c r="C323" s="52" t="s">
        <v>160</v>
      </c>
      <c r="D323" s="52" t="s">
        <v>1553</v>
      </c>
      <c r="E323" s="52" t="s">
        <v>1554</v>
      </c>
      <c r="F323" s="53" t="s">
        <v>837</v>
      </c>
    </row>
    <row r="324" spans="1:6" x14ac:dyDescent="0.3">
      <c r="A324" s="52" t="s">
        <v>831</v>
      </c>
      <c r="B324" s="53" t="s">
        <v>832</v>
      </c>
      <c r="C324" s="52" t="s">
        <v>189</v>
      </c>
      <c r="D324" s="52" t="s">
        <v>1555</v>
      </c>
      <c r="E324" s="52" t="s">
        <v>1556</v>
      </c>
      <c r="F324" s="53" t="s">
        <v>839</v>
      </c>
    </row>
    <row r="325" spans="1:6" x14ac:dyDescent="0.3">
      <c r="A325" s="52" t="s">
        <v>831</v>
      </c>
      <c r="B325" s="53" t="s">
        <v>832</v>
      </c>
      <c r="C325" s="52" t="s">
        <v>151</v>
      </c>
      <c r="D325" s="52" t="s">
        <v>1557</v>
      </c>
      <c r="E325" s="52" t="s">
        <v>1558</v>
      </c>
      <c r="F325" s="53" t="s">
        <v>841</v>
      </c>
    </row>
    <row r="326" spans="1:6" x14ac:dyDescent="0.3">
      <c r="A326" s="52" t="s">
        <v>843</v>
      </c>
      <c r="B326" s="53" t="s">
        <v>844</v>
      </c>
      <c r="C326" s="52" t="s">
        <v>108</v>
      </c>
      <c r="D326" s="52" t="s">
        <v>1559</v>
      </c>
      <c r="E326" s="52" t="s">
        <v>1560</v>
      </c>
      <c r="F326" s="53" t="s">
        <v>845</v>
      </c>
    </row>
    <row r="327" spans="1:6" x14ac:dyDescent="0.3">
      <c r="A327" s="52" t="s">
        <v>843</v>
      </c>
      <c r="B327" s="53" t="s">
        <v>844</v>
      </c>
      <c r="C327" s="52" t="s">
        <v>118</v>
      </c>
      <c r="D327" s="52" t="s">
        <v>1561</v>
      </c>
      <c r="E327" s="52" t="s">
        <v>1562</v>
      </c>
      <c r="F327" s="53" t="s">
        <v>847</v>
      </c>
    </row>
    <row r="328" spans="1:6" x14ac:dyDescent="0.3">
      <c r="A328" s="52" t="s">
        <v>843</v>
      </c>
      <c r="B328" s="53" t="s">
        <v>844</v>
      </c>
      <c r="C328" s="52" t="s">
        <v>211</v>
      </c>
      <c r="D328" s="52" t="s">
        <v>1563</v>
      </c>
      <c r="E328" s="52" t="s">
        <v>1564</v>
      </c>
      <c r="F328" s="53" t="s">
        <v>849</v>
      </c>
    </row>
    <row r="329" spans="1:6" x14ac:dyDescent="0.3">
      <c r="A329" s="52" t="s">
        <v>843</v>
      </c>
      <c r="B329" s="53" t="s">
        <v>844</v>
      </c>
      <c r="C329" s="52" t="s">
        <v>133</v>
      </c>
      <c r="D329" s="52" t="s">
        <v>1565</v>
      </c>
      <c r="E329" s="52" t="s">
        <v>1566</v>
      </c>
      <c r="F329" s="53" t="s">
        <v>851</v>
      </c>
    </row>
    <row r="330" spans="1:6" x14ac:dyDescent="0.3">
      <c r="A330" s="52" t="s">
        <v>843</v>
      </c>
      <c r="B330" s="53" t="s">
        <v>844</v>
      </c>
      <c r="C330" s="52" t="s">
        <v>142</v>
      </c>
      <c r="D330" s="52" t="s">
        <v>1567</v>
      </c>
      <c r="E330" s="52" t="s">
        <v>1568</v>
      </c>
      <c r="F330" s="53" t="s">
        <v>853</v>
      </c>
    </row>
    <row r="331" spans="1:6" x14ac:dyDescent="0.3">
      <c r="A331" s="52" t="s">
        <v>843</v>
      </c>
      <c r="B331" s="53" t="s">
        <v>844</v>
      </c>
      <c r="C331" s="52" t="s">
        <v>189</v>
      </c>
      <c r="D331" s="52" t="s">
        <v>1569</v>
      </c>
      <c r="E331" s="52" t="s">
        <v>1570</v>
      </c>
      <c r="F331" s="53" t="s">
        <v>855</v>
      </c>
    </row>
    <row r="332" spans="1:6" x14ac:dyDescent="0.3">
      <c r="A332" s="52" t="s">
        <v>843</v>
      </c>
      <c r="B332" s="53" t="s">
        <v>844</v>
      </c>
      <c r="C332" s="52" t="s">
        <v>195</v>
      </c>
      <c r="D332" s="52" t="s">
        <v>1571</v>
      </c>
      <c r="E332" s="52" t="s">
        <v>1572</v>
      </c>
      <c r="F332" s="53" t="s">
        <v>857</v>
      </c>
    </row>
    <row r="333" spans="1:6" x14ac:dyDescent="0.3">
      <c r="A333" s="52" t="s">
        <v>843</v>
      </c>
      <c r="B333" s="53" t="s">
        <v>844</v>
      </c>
      <c r="C333" s="52" t="s">
        <v>151</v>
      </c>
      <c r="D333" s="52" t="s">
        <v>1573</v>
      </c>
      <c r="E333" s="52" t="s">
        <v>1574</v>
      </c>
      <c r="F333" s="53" t="s">
        <v>859</v>
      </c>
    </row>
    <row r="334" spans="1:6" x14ac:dyDescent="0.3">
      <c r="A334" s="52" t="s">
        <v>861</v>
      </c>
      <c r="B334" s="53" t="s">
        <v>862</v>
      </c>
      <c r="C334" s="52" t="s">
        <v>121</v>
      </c>
      <c r="D334" s="52" t="s">
        <v>1575</v>
      </c>
      <c r="E334" s="52" t="s">
        <v>1576</v>
      </c>
      <c r="F334" s="53" t="s">
        <v>863</v>
      </c>
    </row>
    <row r="335" spans="1:6" x14ac:dyDescent="0.3">
      <c r="A335" s="52" t="s">
        <v>861</v>
      </c>
      <c r="B335" s="53" t="s">
        <v>862</v>
      </c>
      <c r="C335" s="52" t="s">
        <v>139</v>
      </c>
      <c r="D335" s="52" t="s">
        <v>1577</v>
      </c>
      <c r="E335" s="52" t="s">
        <v>1578</v>
      </c>
      <c r="F335" s="53" t="s">
        <v>865</v>
      </c>
    </row>
    <row r="336" spans="1:6" x14ac:dyDescent="0.3">
      <c r="A336" s="52" t="s">
        <v>861</v>
      </c>
      <c r="B336" s="53" t="s">
        <v>862</v>
      </c>
      <c r="C336" s="52" t="s">
        <v>142</v>
      </c>
      <c r="D336" s="52" t="s">
        <v>1579</v>
      </c>
      <c r="E336" s="52" t="s">
        <v>1580</v>
      </c>
      <c r="F336" s="53" t="s">
        <v>867</v>
      </c>
    </row>
    <row r="337" spans="1:6" x14ac:dyDescent="0.3">
      <c r="A337" s="52" t="s">
        <v>861</v>
      </c>
      <c r="B337" s="53" t="s">
        <v>862</v>
      </c>
      <c r="C337" s="52" t="s">
        <v>163</v>
      </c>
      <c r="D337" s="52" t="s">
        <v>1581</v>
      </c>
      <c r="E337" s="52" t="s">
        <v>1582</v>
      </c>
      <c r="F337" s="53" t="s">
        <v>869</v>
      </c>
    </row>
    <row r="338" spans="1:6" x14ac:dyDescent="0.3">
      <c r="A338" s="52" t="s">
        <v>861</v>
      </c>
      <c r="B338" s="53" t="s">
        <v>862</v>
      </c>
      <c r="C338" s="52" t="s">
        <v>168</v>
      </c>
      <c r="D338" s="52" t="s">
        <v>1583</v>
      </c>
      <c r="E338" s="52" t="s">
        <v>1584</v>
      </c>
      <c r="F338" s="53" t="s">
        <v>871</v>
      </c>
    </row>
    <row r="339" spans="1:6" x14ac:dyDescent="0.3">
      <c r="A339" s="52" t="s">
        <v>861</v>
      </c>
      <c r="B339" s="53" t="s">
        <v>862</v>
      </c>
      <c r="C339" s="52" t="s">
        <v>151</v>
      </c>
      <c r="D339" s="52" t="s">
        <v>1585</v>
      </c>
      <c r="E339" s="52" t="s">
        <v>1586</v>
      </c>
      <c r="F339" s="53" t="s">
        <v>873</v>
      </c>
    </row>
    <row r="340" spans="1:6" x14ac:dyDescent="0.3">
      <c r="A340" s="52" t="s">
        <v>875</v>
      </c>
      <c r="B340" s="53" t="s">
        <v>876</v>
      </c>
      <c r="C340" s="52" t="s">
        <v>127</v>
      </c>
      <c r="D340" s="52" t="s">
        <v>1587</v>
      </c>
      <c r="E340" s="52" t="s">
        <v>1588</v>
      </c>
      <c r="F340" s="53" t="s">
        <v>877</v>
      </c>
    </row>
    <row r="341" spans="1:6" x14ac:dyDescent="0.3">
      <c r="A341" s="52" t="s">
        <v>875</v>
      </c>
      <c r="B341" s="53" t="s">
        <v>876</v>
      </c>
      <c r="C341" s="52" t="s">
        <v>130</v>
      </c>
      <c r="D341" s="52" t="s">
        <v>1589</v>
      </c>
      <c r="E341" s="52" t="s">
        <v>1590</v>
      </c>
      <c r="F341" s="53" t="s">
        <v>879</v>
      </c>
    </row>
    <row r="342" spans="1:6" x14ac:dyDescent="0.3">
      <c r="A342" s="52" t="s">
        <v>875</v>
      </c>
      <c r="B342" s="53" t="s">
        <v>876</v>
      </c>
      <c r="C342" s="52" t="s">
        <v>133</v>
      </c>
      <c r="D342" s="52" t="s">
        <v>1591</v>
      </c>
      <c r="E342" s="52" t="s">
        <v>1592</v>
      </c>
      <c r="F342" s="53" t="s">
        <v>881</v>
      </c>
    </row>
    <row r="343" spans="1:6" x14ac:dyDescent="0.3">
      <c r="A343" s="52" t="s">
        <v>875</v>
      </c>
      <c r="B343" s="53" t="s">
        <v>876</v>
      </c>
      <c r="C343" s="52" t="s">
        <v>139</v>
      </c>
      <c r="D343" s="52" t="s">
        <v>1593</v>
      </c>
      <c r="E343" s="52" t="s">
        <v>1594</v>
      </c>
      <c r="F343" s="53" t="s">
        <v>883</v>
      </c>
    </row>
    <row r="344" spans="1:6" x14ac:dyDescent="0.3">
      <c r="A344" s="52" t="s">
        <v>875</v>
      </c>
      <c r="B344" s="53" t="s">
        <v>876</v>
      </c>
      <c r="C344" s="52" t="s">
        <v>145</v>
      </c>
      <c r="D344" s="52" t="s">
        <v>1595</v>
      </c>
      <c r="E344" s="52" t="s">
        <v>1596</v>
      </c>
      <c r="F344" s="53" t="s">
        <v>885</v>
      </c>
    </row>
    <row r="345" spans="1:6" x14ac:dyDescent="0.3">
      <c r="A345" s="52" t="s">
        <v>875</v>
      </c>
      <c r="B345" s="53" t="s">
        <v>876</v>
      </c>
      <c r="C345" s="52" t="s">
        <v>195</v>
      </c>
      <c r="D345" s="52" t="s">
        <v>1597</v>
      </c>
      <c r="E345" s="52" t="s">
        <v>1598</v>
      </c>
      <c r="F345" s="53" t="s">
        <v>887</v>
      </c>
    </row>
  </sheetData>
  <autoFilter ref="A3:F345" xr:uid="{00000000-0009-0000-0000-000003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9"/>
  <sheetViews>
    <sheetView zoomScaleNormal="100" workbookViewId="0">
      <pane ySplit="3" topLeftCell="A19" activePane="bottomLeft" state="frozen"/>
      <selection pane="bottomLeft" activeCell="H11" sqref="H11"/>
    </sheetView>
  </sheetViews>
  <sheetFormatPr defaultColWidth="8.88671875" defaultRowHeight="14.4" x14ac:dyDescent="0.3"/>
  <cols>
    <col min="1" max="1" width="8" style="48" customWidth="1"/>
    <col min="2" max="2" width="34" style="48" customWidth="1"/>
    <col min="3" max="3" width="14" style="48" customWidth="1"/>
    <col min="4" max="4" width="8" style="48" customWidth="1"/>
    <col min="5" max="6" width="13" style="48" customWidth="1"/>
    <col min="7" max="7" width="12" style="48" customWidth="1"/>
    <col min="8" max="16384" width="8.88671875" style="48"/>
  </cols>
  <sheetData>
    <row r="1" spans="1:7" ht="17.25" customHeight="1" x14ac:dyDescent="0.3">
      <c r="A1" s="79" t="s">
        <v>1599</v>
      </c>
      <c r="B1" s="79"/>
      <c r="C1" s="79"/>
      <c r="D1" s="79"/>
      <c r="E1" s="79"/>
      <c r="F1" s="79"/>
      <c r="G1" s="79"/>
    </row>
    <row r="3" spans="1:7" x14ac:dyDescent="0.3">
      <c r="A3" s="50" t="s">
        <v>89</v>
      </c>
      <c r="B3" s="50" t="s">
        <v>90</v>
      </c>
      <c r="C3" s="50" t="s">
        <v>1600</v>
      </c>
      <c r="D3" s="50" t="s">
        <v>92</v>
      </c>
      <c r="E3" s="50" t="s">
        <v>1601</v>
      </c>
      <c r="F3" s="50" t="s">
        <v>1602</v>
      </c>
      <c r="G3" s="50" t="s">
        <v>1603</v>
      </c>
    </row>
    <row r="4" spans="1:7" x14ac:dyDescent="0.3">
      <c r="A4" s="60" t="s">
        <v>98</v>
      </c>
      <c r="B4" s="61" t="s">
        <v>99</v>
      </c>
      <c r="C4" s="60" t="s">
        <v>100</v>
      </c>
      <c r="D4" s="60" t="s">
        <v>101</v>
      </c>
      <c r="E4" s="62">
        <v>49.805</v>
      </c>
      <c r="F4" s="62">
        <v>19.002027999999999</v>
      </c>
      <c r="G4" s="60">
        <v>3</v>
      </c>
    </row>
    <row r="5" spans="1:7" x14ac:dyDescent="0.3">
      <c r="A5" s="63" t="s">
        <v>111</v>
      </c>
      <c r="B5" s="64" t="s">
        <v>112</v>
      </c>
      <c r="C5" s="63" t="s">
        <v>113</v>
      </c>
      <c r="D5" s="63" t="s">
        <v>101</v>
      </c>
      <c r="E5" s="65">
        <v>52.269193999999999</v>
      </c>
      <c r="F5" s="65">
        <v>20.907222000000001</v>
      </c>
      <c r="G5" s="63">
        <v>14</v>
      </c>
    </row>
    <row r="6" spans="1:7" x14ac:dyDescent="0.3">
      <c r="A6" s="60" t="s">
        <v>154</v>
      </c>
      <c r="B6" s="61" t="s">
        <v>155</v>
      </c>
      <c r="C6" s="60" t="s">
        <v>100</v>
      </c>
      <c r="D6" s="60" t="s">
        <v>101</v>
      </c>
      <c r="E6" s="62">
        <v>53.102249999999998</v>
      </c>
      <c r="F6" s="62">
        <v>23.171056</v>
      </c>
      <c r="G6" s="60">
        <v>6</v>
      </c>
    </row>
    <row r="7" spans="1:7" x14ac:dyDescent="0.3">
      <c r="A7" s="63" t="s">
        <v>171</v>
      </c>
      <c r="B7" s="64" t="s">
        <v>172</v>
      </c>
      <c r="C7" s="63" t="s">
        <v>173</v>
      </c>
      <c r="D7" s="63" t="s">
        <v>174</v>
      </c>
      <c r="E7" s="65">
        <v>53.096666999999997</v>
      </c>
      <c r="F7" s="65">
        <v>17.977778000000001</v>
      </c>
      <c r="G7" s="63">
        <v>10</v>
      </c>
    </row>
    <row r="8" spans="1:7" x14ac:dyDescent="0.3">
      <c r="A8" s="60" t="s">
        <v>198</v>
      </c>
      <c r="B8" s="61" t="s">
        <v>199</v>
      </c>
      <c r="C8" s="60" t="s">
        <v>100</v>
      </c>
      <c r="D8" s="60" t="s">
        <v>101</v>
      </c>
      <c r="E8" s="62">
        <v>51.082721999999997</v>
      </c>
      <c r="F8" s="62">
        <v>23.437750000000001</v>
      </c>
      <c r="G8" s="60">
        <v>3</v>
      </c>
    </row>
    <row r="9" spans="1:7" x14ac:dyDescent="0.3">
      <c r="A9" s="63" t="s">
        <v>206</v>
      </c>
      <c r="B9" s="64" t="s">
        <v>207</v>
      </c>
      <c r="C9" s="63" t="s">
        <v>208</v>
      </c>
      <c r="D9" s="63" t="s">
        <v>174</v>
      </c>
      <c r="E9" s="65">
        <v>54.377499999999998</v>
      </c>
      <c r="F9" s="65">
        <v>18.466111000000001</v>
      </c>
      <c r="G9" s="63">
        <v>7</v>
      </c>
    </row>
    <row r="10" spans="1:7" x14ac:dyDescent="0.3">
      <c r="A10" s="60" t="s">
        <v>225</v>
      </c>
      <c r="B10" s="61" t="s">
        <v>226</v>
      </c>
      <c r="C10" s="60" t="s">
        <v>100</v>
      </c>
      <c r="D10" s="60" t="s">
        <v>101</v>
      </c>
      <c r="E10" s="62">
        <v>53.524417</v>
      </c>
      <c r="F10" s="62">
        <v>18.849471999999999</v>
      </c>
      <c r="G10" s="60">
        <v>5</v>
      </c>
    </row>
    <row r="11" spans="1:7" x14ac:dyDescent="0.3">
      <c r="A11" s="63" t="s">
        <v>237</v>
      </c>
      <c r="B11" s="64" t="s">
        <v>238</v>
      </c>
      <c r="C11" s="63" t="s">
        <v>100</v>
      </c>
      <c r="D11" s="63" t="s">
        <v>101</v>
      </c>
      <c r="E11" s="65">
        <v>50.269944000000002</v>
      </c>
      <c r="F11" s="65">
        <v>18.672388999999999</v>
      </c>
      <c r="G11" s="63">
        <v>7</v>
      </c>
    </row>
    <row r="12" spans="1:7" x14ac:dyDescent="0.3">
      <c r="A12" s="60" t="s">
        <v>254</v>
      </c>
      <c r="B12" s="61" t="s">
        <v>255</v>
      </c>
      <c r="C12" s="60" t="s">
        <v>100</v>
      </c>
      <c r="D12" s="60" t="s">
        <v>101</v>
      </c>
      <c r="E12" s="62">
        <v>52.806277999999999</v>
      </c>
      <c r="F12" s="62">
        <v>18.284860999999999</v>
      </c>
      <c r="G12" s="60">
        <v>8</v>
      </c>
    </row>
    <row r="13" spans="1:7" x14ac:dyDescent="0.3">
      <c r="A13" s="63" t="s">
        <v>272</v>
      </c>
      <c r="B13" s="64" t="s">
        <v>273</v>
      </c>
      <c r="C13" s="63" t="s">
        <v>100</v>
      </c>
      <c r="D13" s="63" t="s">
        <v>101</v>
      </c>
      <c r="E13" s="65">
        <v>50.89875</v>
      </c>
      <c r="F13" s="65">
        <v>15.785167</v>
      </c>
      <c r="G13" s="63">
        <v>6</v>
      </c>
    </row>
    <row r="14" spans="1:7" x14ac:dyDescent="0.3">
      <c r="A14" s="60" t="s">
        <v>286</v>
      </c>
      <c r="B14" s="61" t="s">
        <v>287</v>
      </c>
      <c r="C14" s="60" t="s">
        <v>100</v>
      </c>
      <c r="D14" s="60" t="s">
        <v>101</v>
      </c>
      <c r="E14" s="62">
        <v>50.944028000000003</v>
      </c>
      <c r="F14" s="62">
        <v>15.766527999999999</v>
      </c>
      <c r="G14" s="60">
        <v>6</v>
      </c>
    </row>
    <row r="15" spans="1:7" x14ac:dyDescent="0.3">
      <c r="A15" s="63" t="s">
        <v>294</v>
      </c>
      <c r="B15" s="64" t="s">
        <v>295</v>
      </c>
      <c r="C15" s="63" t="s">
        <v>100</v>
      </c>
      <c r="D15" s="63" t="s">
        <v>101</v>
      </c>
      <c r="E15" s="65">
        <v>50.896861000000001</v>
      </c>
      <c r="F15" s="65">
        <v>20.731361</v>
      </c>
      <c r="G15" s="63">
        <v>5</v>
      </c>
    </row>
    <row r="16" spans="1:7" x14ac:dyDescent="0.3">
      <c r="A16" s="60" t="s">
        <v>306</v>
      </c>
      <c r="B16" s="61" t="s">
        <v>307</v>
      </c>
      <c r="C16" s="60" t="s">
        <v>100</v>
      </c>
      <c r="D16" s="60" t="s">
        <v>101</v>
      </c>
      <c r="E16" s="62">
        <v>54.046889</v>
      </c>
      <c r="F16" s="62">
        <v>21.426444</v>
      </c>
      <c r="G16" s="60">
        <v>3</v>
      </c>
    </row>
    <row r="17" spans="1:7" x14ac:dyDescent="0.3">
      <c r="A17" s="63" t="s">
        <v>314</v>
      </c>
      <c r="B17" s="64" t="s">
        <v>315</v>
      </c>
      <c r="C17" s="63" t="s">
        <v>208</v>
      </c>
      <c r="D17" s="63" t="s">
        <v>174</v>
      </c>
      <c r="E17" s="65">
        <v>50.077778000000002</v>
      </c>
      <c r="F17" s="65">
        <v>19.784721999999999</v>
      </c>
      <c r="G17" s="63">
        <v>13</v>
      </c>
    </row>
    <row r="18" spans="1:7" x14ac:dyDescent="0.3">
      <c r="A18" s="60" t="s">
        <v>341</v>
      </c>
      <c r="B18" s="61" t="s">
        <v>342</v>
      </c>
      <c r="C18" s="60" t="s">
        <v>100</v>
      </c>
      <c r="D18" s="60" t="s">
        <v>101</v>
      </c>
      <c r="E18" s="62">
        <v>50.238500000000002</v>
      </c>
      <c r="F18" s="62">
        <v>19.037167</v>
      </c>
      <c r="G18" s="60">
        <v>7</v>
      </c>
    </row>
    <row r="19" spans="1:7" x14ac:dyDescent="0.3">
      <c r="A19" s="63" t="s">
        <v>351</v>
      </c>
      <c r="B19" s="64" t="s">
        <v>352</v>
      </c>
      <c r="C19" s="63" t="s">
        <v>100</v>
      </c>
      <c r="D19" s="63" t="s">
        <v>101</v>
      </c>
      <c r="E19" s="65">
        <v>50.086388999999997</v>
      </c>
      <c r="F19" s="65">
        <v>20.202389</v>
      </c>
      <c r="G19" s="63">
        <v>4</v>
      </c>
    </row>
    <row r="20" spans="1:7" x14ac:dyDescent="0.3">
      <c r="A20" s="60" t="s">
        <v>361</v>
      </c>
      <c r="B20" s="61" t="s">
        <v>362</v>
      </c>
      <c r="C20" s="60" t="s">
        <v>100</v>
      </c>
      <c r="D20" s="60" t="s">
        <v>101</v>
      </c>
      <c r="E20" s="62">
        <v>49.679222000000003</v>
      </c>
      <c r="F20" s="62">
        <v>21.745000000000001</v>
      </c>
      <c r="G20" s="60">
        <v>4</v>
      </c>
    </row>
    <row r="21" spans="1:7" x14ac:dyDescent="0.3">
      <c r="A21" s="63" t="s">
        <v>371</v>
      </c>
      <c r="B21" s="64" t="s">
        <v>372</v>
      </c>
      <c r="C21" s="63" t="s">
        <v>208</v>
      </c>
      <c r="D21" s="63" t="s">
        <v>174</v>
      </c>
      <c r="E21" s="65">
        <v>50.474167000000001</v>
      </c>
      <c r="F21" s="65">
        <v>19.079999999999998</v>
      </c>
      <c r="G21" s="63">
        <v>10</v>
      </c>
    </row>
    <row r="22" spans="1:7" x14ac:dyDescent="0.3">
      <c r="A22" s="60" t="s">
        <v>389</v>
      </c>
      <c r="B22" s="61" t="s">
        <v>390</v>
      </c>
      <c r="C22" s="60" t="s">
        <v>100</v>
      </c>
      <c r="D22" s="60" t="s">
        <v>101</v>
      </c>
      <c r="E22" s="62">
        <v>49.940860999999998</v>
      </c>
      <c r="F22" s="62">
        <v>19.020889</v>
      </c>
      <c r="G22" s="60">
        <v>3</v>
      </c>
    </row>
    <row r="23" spans="1:7" x14ac:dyDescent="0.3">
      <c r="A23" s="63" t="s">
        <v>399</v>
      </c>
      <c r="B23" s="64" t="s">
        <v>400</v>
      </c>
      <c r="C23" s="63" t="s">
        <v>208</v>
      </c>
      <c r="D23" s="63" t="s">
        <v>174</v>
      </c>
      <c r="E23" s="65">
        <v>51.240278000000004</v>
      </c>
      <c r="F23" s="65">
        <v>22.713611</v>
      </c>
      <c r="G23" s="63">
        <v>10</v>
      </c>
    </row>
    <row r="24" spans="1:7" x14ac:dyDescent="0.3">
      <c r="A24" s="60" t="s">
        <v>422</v>
      </c>
      <c r="B24" s="61" t="s">
        <v>423</v>
      </c>
      <c r="C24" s="60" t="s">
        <v>208</v>
      </c>
      <c r="D24" s="60" t="s">
        <v>174</v>
      </c>
      <c r="E24" s="62">
        <v>51.721944000000001</v>
      </c>
      <c r="F24" s="62">
        <v>19.398056</v>
      </c>
      <c r="G24" s="60">
        <v>11</v>
      </c>
    </row>
    <row r="25" spans="1:7" x14ac:dyDescent="0.3">
      <c r="A25" s="63" t="s">
        <v>446</v>
      </c>
      <c r="B25" s="64" t="s">
        <v>447</v>
      </c>
      <c r="C25" s="63" t="s">
        <v>100</v>
      </c>
      <c r="D25" s="63" t="s">
        <v>101</v>
      </c>
      <c r="E25" s="65">
        <v>51.835278000000002</v>
      </c>
      <c r="F25" s="65">
        <v>16.522666999999998</v>
      </c>
      <c r="G25" s="63">
        <v>4</v>
      </c>
    </row>
    <row r="26" spans="1:7" x14ac:dyDescent="0.3">
      <c r="A26" s="60" t="s">
        <v>456</v>
      </c>
      <c r="B26" s="61" t="s">
        <v>457</v>
      </c>
      <c r="C26" s="60" t="s">
        <v>113</v>
      </c>
      <c r="D26" s="60" t="s">
        <v>101</v>
      </c>
      <c r="E26" s="62">
        <v>50.322277999999997</v>
      </c>
      <c r="F26" s="62">
        <v>21.461749999999999</v>
      </c>
      <c r="G26" s="60">
        <v>7</v>
      </c>
    </row>
    <row r="27" spans="1:7" x14ac:dyDescent="0.3">
      <c r="A27" s="63" t="s">
        <v>465</v>
      </c>
      <c r="B27" s="64" t="s">
        <v>466</v>
      </c>
      <c r="C27" s="63" t="s">
        <v>208</v>
      </c>
      <c r="D27" s="63" t="s">
        <v>174</v>
      </c>
      <c r="E27" s="65">
        <v>52.451110999999997</v>
      </c>
      <c r="F27" s="65">
        <v>20.651944</v>
      </c>
      <c r="G27" s="63">
        <v>8</v>
      </c>
    </row>
    <row r="28" spans="1:7" x14ac:dyDescent="0.3">
      <c r="A28" s="60" t="s">
        <v>482</v>
      </c>
      <c r="B28" s="61" t="s">
        <v>483</v>
      </c>
      <c r="C28" s="60" t="s">
        <v>100</v>
      </c>
      <c r="D28" s="60" t="s">
        <v>101</v>
      </c>
      <c r="E28" s="62">
        <v>50.959083</v>
      </c>
      <c r="F28" s="62">
        <v>16.770250000000001</v>
      </c>
      <c r="G28" s="60">
        <v>4</v>
      </c>
    </row>
    <row r="29" spans="1:7" x14ac:dyDescent="0.3">
      <c r="A29" s="63" t="s">
        <v>492</v>
      </c>
      <c r="B29" s="64" t="s">
        <v>493</v>
      </c>
      <c r="C29" s="63" t="s">
        <v>100</v>
      </c>
      <c r="D29" s="63" t="s">
        <v>101</v>
      </c>
      <c r="E29" s="65">
        <v>52.573999999999998</v>
      </c>
      <c r="F29" s="65">
        <v>20.871917</v>
      </c>
      <c r="G29" s="63">
        <v>4</v>
      </c>
    </row>
    <row r="30" spans="1:7" x14ac:dyDescent="0.3">
      <c r="A30" s="60" t="s">
        <v>502</v>
      </c>
      <c r="B30" s="61" t="s">
        <v>503</v>
      </c>
      <c r="C30" s="60" t="s">
        <v>100</v>
      </c>
      <c r="D30" s="60" t="s">
        <v>101</v>
      </c>
      <c r="E30" s="62">
        <v>49.462833000000003</v>
      </c>
      <c r="F30" s="62">
        <v>20.050667000000001</v>
      </c>
      <c r="G30" s="60">
        <v>4</v>
      </c>
    </row>
    <row r="31" spans="1:7" x14ac:dyDescent="0.3">
      <c r="A31" s="63" t="s">
        <v>512</v>
      </c>
      <c r="B31" s="64" t="s">
        <v>513</v>
      </c>
      <c r="C31" s="63" t="s">
        <v>100</v>
      </c>
      <c r="D31" s="63" t="s">
        <v>101</v>
      </c>
      <c r="E31" s="65">
        <v>53.773888999999997</v>
      </c>
      <c r="F31" s="65">
        <v>20.413499999999999</v>
      </c>
      <c r="G31" s="63">
        <v>3</v>
      </c>
    </row>
    <row r="32" spans="1:7" x14ac:dyDescent="0.3">
      <c r="A32" s="60" t="s">
        <v>520</v>
      </c>
      <c r="B32" s="61" t="s">
        <v>521</v>
      </c>
      <c r="C32" s="60" t="s">
        <v>100</v>
      </c>
      <c r="D32" s="60" t="s">
        <v>101</v>
      </c>
      <c r="E32" s="62">
        <v>51.700749999999999</v>
      </c>
      <c r="F32" s="62">
        <v>17.846361000000002</v>
      </c>
      <c r="G32" s="60">
        <v>3</v>
      </c>
    </row>
    <row r="33" spans="1:7" x14ac:dyDescent="0.3">
      <c r="A33" s="63" t="s">
        <v>528</v>
      </c>
      <c r="B33" s="64" t="s">
        <v>529</v>
      </c>
      <c r="C33" s="63" t="s">
        <v>100</v>
      </c>
      <c r="D33" s="63" t="s">
        <v>101</v>
      </c>
      <c r="E33" s="65">
        <v>50.632167000000003</v>
      </c>
      <c r="F33" s="65">
        <v>17.780667000000001</v>
      </c>
      <c r="G33" s="63">
        <v>6</v>
      </c>
    </row>
    <row r="34" spans="1:7" x14ac:dyDescent="0.3">
      <c r="A34" s="60" t="s">
        <v>542</v>
      </c>
      <c r="B34" s="61" t="s">
        <v>543</v>
      </c>
      <c r="C34" s="60" t="s">
        <v>100</v>
      </c>
      <c r="D34" s="60" t="s">
        <v>101</v>
      </c>
      <c r="E34" s="62">
        <v>52.534806000000003</v>
      </c>
      <c r="F34" s="62">
        <v>17.216138999999998</v>
      </c>
      <c r="G34" s="60">
        <v>5</v>
      </c>
    </row>
    <row r="35" spans="1:7" x14ac:dyDescent="0.3">
      <c r="A35" s="63" t="s">
        <v>554</v>
      </c>
      <c r="B35" s="64" t="s">
        <v>555</v>
      </c>
      <c r="C35" s="63" t="s">
        <v>100</v>
      </c>
      <c r="D35" s="63" t="s">
        <v>101</v>
      </c>
      <c r="E35" s="65">
        <v>52.434417000000003</v>
      </c>
      <c r="F35" s="65">
        <v>17.044194000000001</v>
      </c>
      <c r="G35" s="63">
        <v>5</v>
      </c>
    </row>
    <row r="36" spans="1:7" x14ac:dyDescent="0.3">
      <c r="A36" s="60" t="s">
        <v>564</v>
      </c>
      <c r="B36" s="61" t="s">
        <v>565</v>
      </c>
      <c r="C36" s="60" t="s">
        <v>100</v>
      </c>
      <c r="D36" s="60" t="s">
        <v>101</v>
      </c>
      <c r="E36" s="62">
        <v>52.561917000000001</v>
      </c>
      <c r="F36" s="62">
        <v>19.720917</v>
      </c>
      <c r="G36" s="60">
        <v>3</v>
      </c>
    </row>
    <row r="37" spans="1:7" x14ac:dyDescent="0.3">
      <c r="A37" s="63" t="s">
        <v>572</v>
      </c>
      <c r="B37" s="64" t="s">
        <v>573</v>
      </c>
      <c r="C37" s="63" t="s">
        <v>208</v>
      </c>
      <c r="D37" s="63" t="s">
        <v>174</v>
      </c>
      <c r="E37" s="65">
        <v>52.421111000000003</v>
      </c>
      <c r="F37" s="65">
        <v>16.826388999999999</v>
      </c>
      <c r="G37" s="63">
        <v>12</v>
      </c>
    </row>
    <row r="38" spans="1:7" x14ac:dyDescent="0.3">
      <c r="A38" s="60" t="s">
        <v>598</v>
      </c>
      <c r="B38" s="61" t="s">
        <v>599</v>
      </c>
      <c r="C38" s="60" t="s">
        <v>113</v>
      </c>
      <c r="D38" s="60" t="s">
        <v>101</v>
      </c>
      <c r="E38" s="62">
        <v>51.382556000000001</v>
      </c>
      <c r="F38" s="62">
        <v>19.688528000000002</v>
      </c>
      <c r="G38" s="60">
        <v>6</v>
      </c>
    </row>
    <row r="39" spans="1:7" x14ac:dyDescent="0.3">
      <c r="A39" s="63" t="s">
        <v>612</v>
      </c>
      <c r="B39" s="64" t="s">
        <v>613</v>
      </c>
      <c r="C39" s="63" t="s">
        <v>614</v>
      </c>
      <c r="D39" s="63" t="s">
        <v>174</v>
      </c>
      <c r="E39" s="65">
        <v>51.388888999999999</v>
      </c>
      <c r="F39" s="65">
        <v>21.211666999999998</v>
      </c>
      <c r="G39" s="63">
        <v>10</v>
      </c>
    </row>
    <row r="40" spans="1:7" x14ac:dyDescent="0.3">
      <c r="A40" s="60" t="s">
        <v>635</v>
      </c>
      <c r="B40" s="61" t="s">
        <v>636</v>
      </c>
      <c r="C40" s="60" t="s">
        <v>100</v>
      </c>
      <c r="D40" s="60" t="s">
        <v>101</v>
      </c>
      <c r="E40" s="62">
        <v>50.070999999999998</v>
      </c>
      <c r="F40" s="62">
        <v>18.629166999999999</v>
      </c>
      <c r="G40" s="60">
        <v>3</v>
      </c>
    </row>
    <row r="41" spans="1:7" x14ac:dyDescent="0.3">
      <c r="A41" s="63" t="s">
        <v>643</v>
      </c>
      <c r="B41" s="64" t="s">
        <v>644</v>
      </c>
      <c r="C41" s="63" t="s">
        <v>100</v>
      </c>
      <c r="D41" s="63" t="s">
        <v>101</v>
      </c>
      <c r="E41" s="65">
        <v>51.478999999999999</v>
      </c>
      <c r="F41" s="65">
        <v>21.109611000000001</v>
      </c>
      <c r="G41" s="63">
        <v>5</v>
      </c>
    </row>
    <row r="42" spans="1:7" x14ac:dyDescent="0.3">
      <c r="A42" s="60" t="s">
        <v>655</v>
      </c>
      <c r="B42" s="61" t="s">
        <v>656</v>
      </c>
      <c r="C42" s="60" t="s">
        <v>100</v>
      </c>
      <c r="D42" s="60" t="s">
        <v>101</v>
      </c>
      <c r="E42" s="62">
        <v>50.884805999999998</v>
      </c>
      <c r="F42" s="62">
        <v>19.202999999999999</v>
      </c>
      <c r="G42" s="60">
        <v>4</v>
      </c>
    </row>
    <row r="43" spans="1:7" x14ac:dyDescent="0.3">
      <c r="A43" s="63" t="s">
        <v>665</v>
      </c>
      <c r="B43" s="64" t="s">
        <v>666</v>
      </c>
      <c r="C43" s="63" t="s">
        <v>208</v>
      </c>
      <c r="D43" s="63" t="s">
        <v>174</v>
      </c>
      <c r="E43" s="65">
        <v>50.11</v>
      </c>
      <c r="F43" s="65">
        <v>22.018889000000001</v>
      </c>
      <c r="G43" s="63">
        <v>10</v>
      </c>
    </row>
    <row r="44" spans="1:7" x14ac:dyDescent="0.3">
      <c r="A44" s="60" t="s">
        <v>687</v>
      </c>
      <c r="B44" s="61" t="s">
        <v>688</v>
      </c>
      <c r="C44" s="60" t="s">
        <v>208</v>
      </c>
      <c r="D44" s="60" t="s">
        <v>174</v>
      </c>
      <c r="E44" s="62">
        <v>53.584721999999999</v>
      </c>
      <c r="F44" s="62">
        <v>14.902222</v>
      </c>
      <c r="G44" s="60">
        <v>4</v>
      </c>
    </row>
    <row r="45" spans="1:7" x14ac:dyDescent="0.3">
      <c r="A45" s="63" t="s">
        <v>697</v>
      </c>
      <c r="B45" s="64" t="s">
        <v>698</v>
      </c>
      <c r="C45" s="63" t="s">
        <v>100</v>
      </c>
      <c r="D45" s="63" t="s">
        <v>101</v>
      </c>
      <c r="E45" s="65">
        <v>53.390694000000003</v>
      </c>
      <c r="F45" s="65">
        <v>14.632417</v>
      </c>
      <c r="G45" s="63">
        <v>5</v>
      </c>
    </row>
    <row r="46" spans="1:7" x14ac:dyDescent="0.3">
      <c r="A46" s="60" t="s">
        <v>709</v>
      </c>
      <c r="B46" s="61" t="s">
        <v>710</v>
      </c>
      <c r="C46" s="60" t="s">
        <v>100</v>
      </c>
      <c r="D46" s="60" t="s">
        <v>101</v>
      </c>
      <c r="E46" s="62">
        <v>53.250528000000003</v>
      </c>
      <c r="F46" s="62">
        <v>16.751805999999998</v>
      </c>
      <c r="G46" s="60">
        <v>4</v>
      </c>
    </row>
    <row r="47" spans="1:7" x14ac:dyDescent="0.3">
      <c r="A47" s="63" t="s">
        <v>719</v>
      </c>
      <c r="B47" s="64" t="s">
        <v>720</v>
      </c>
      <c r="C47" s="63" t="s">
        <v>100</v>
      </c>
      <c r="D47" s="63" t="s">
        <v>101</v>
      </c>
      <c r="E47" s="65">
        <v>50.626389000000003</v>
      </c>
      <c r="F47" s="65">
        <v>21.999056</v>
      </c>
      <c r="G47" s="63">
        <v>4</v>
      </c>
    </row>
    <row r="48" spans="1:7" x14ac:dyDescent="0.3">
      <c r="A48" s="60" t="s">
        <v>729</v>
      </c>
      <c r="B48" s="61" t="s">
        <v>730</v>
      </c>
      <c r="C48" s="60" t="s">
        <v>100</v>
      </c>
      <c r="D48" s="60" t="s">
        <v>101</v>
      </c>
      <c r="E48" s="62">
        <v>54.074416999999997</v>
      </c>
      <c r="F48" s="62">
        <v>22.900082999999999</v>
      </c>
      <c r="G48" s="60">
        <v>3</v>
      </c>
    </row>
    <row r="49" spans="1:7" x14ac:dyDescent="0.3">
      <c r="A49" s="63" t="s">
        <v>737</v>
      </c>
      <c r="B49" s="64" t="s">
        <v>738</v>
      </c>
      <c r="C49" s="63" t="s">
        <v>208</v>
      </c>
      <c r="D49" s="63" t="s">
        <v>174</v>
      </c>
      <c r="E49" s="65">
        <v>53.481943999999999</v>
      </c>
      <c r="F49" s="65">
        <v>20.937778000000002</v>
      </c>
      <c r="G49" s="63">
        <v>8</v>
      </c>
    </row>
    <row r="50" spans="1:7" x14ac:dyDescent="0.3">
      <c r="A50" s="60" t="s">
        <v>755</v>
      </c>
      <c r="B50" s="61" t="s">
        <v>756</v>
      </c>
      <c r="C50" s="60" t="s">
        <v>100</v>
      </c>
      <c r="D50" s="60" t="s">
        <v>101</v>
      </c>
      <c r="E50" s="62">
        <v>53.029027999999997</v>
      </c>
      <c r="F50" s="62">
        <v>18.546889</v>
      </c>
      <c r="G50" s="60">
        <v>4</v>
      </c>
    </row>
    <row r="51" spans="1:7" x14ac:dyDescent="0.3">
      <c r="A51" s="63" t="s">
        <v>765</v>
      </c>
      <c r="B51" s="64" t="s">
        <v>766</v>
      </c>
      <c r="C51" s="63" t="s">
        <v>208</v>
      </c>
      <c r="D51" s="63" t="s">
        <v>174</v>
      </c>
      <c r="E51" s="65">
        <v>52.165832999999999</v>
      </c>
      <c r="F51" s="65">
        <v>20.967222</v>
      </c>
      <c r="G51" s="63">
        <v>19</v>
      </c>
    </row>
    <row r="52" spans="1:7" x14ac:dyDescent="0.3">
      <c r="A52" s="60" t="s">
        <v>797</v>
      </c>
      <c r="B52" s="61" t="s">
        <v>798</v>
      </c>
      <c r="C52" s="60" t="s">
        <v>100</v>
      </c>
      <c r="D52" s="60" t="s">
        <v>101</v>
      </c>
      <c r="E52" s="62">
        <v>52.584417000000002</v>
      </c>
      <c r="F52" s="62">
        <v>19.012499999999999</v>
      </c>
      <c r="G52" s="60">
        <v>4</v>
      </c>
    </row>
    <row r="53" spans="1:7" x14ac:dyDescent="0.3">
      <c r="A53" s="63" t="s">
        <v>807</v>
      </c>
      <c r="B53" s="64" t="s">
        <v>808</v>
      </c>
      <c r="C53" s="63" t="s">
        <v>208</v>
      </c>
      <c r="D53" s="63" t="s">
        <v>174</v>
      </c>
      <c r="E53" s="65">
        <v>51.102778000000001</v>
      </c>
      <c r="F53" s="65">
        <v>16.885833000000002</v>
      </c>
      <c r="G53" s="63">
        <v>6</v>
      </c>
    </row>
    <row r="54" spans="1:7" x14ac:dyDescent="0.3">
      <c r="A54" s="60" t="s">
        <v>821</v>
      </c>
      <c r="B54" s="61" t="s">
        <v>822</v>
      </c>
      <c r="C54" s="60" t="s">
        <v>100</v>
      </c>
      <c r="D54" s="60" t="s">
        <v>101</v>
      </c>
      <c r="E54" s="62">
        <v>51.207056000000001</v>
      </c>
      <c r="F54" s="62">
        <v>16.998305999999999</v>
      </c>
      <c r="G54" s="60">
        <v>5</v>
      </c>
    </row>
    <row r="55" spans="1:7" x14ac:dyDescent="0.3">
      <c r="A55" s="63" t="s">
        <v>831</v>
      </c>
      <c r="B55" s="64" t="s">
        <v>832</v>
      </c>
      <c r="C55" s="63" t="s">
        <v>100</v>
      </c>
      <c r="D55" s="63" t="s">
        <v>101</v>
      </c>
      <c r="E55" s="65">
        <v>50.700916999999997</v>
      </c>
      <c r="F55" s="65">
        <v>23.204833000000001</v>
      </c>
      <c r="G55" s="63">
        <v>5</v>
      </c>
    </row>
    <row r="56" spans="1:7" x14ac:dyDescent="0.3">
      <c r="A56" s="60" t="s">
        <v>843</v>
      </c>
      <c r="B56" s="61" t="s">
        <v>844</v>
      </c>
      <c r="C56" s="60" t="s">
        <v>208</v>
      </c>
      <c r="D56" s="60" t="s">
        <v>174</v>
      </c>
      <c r="E56" s="62">
        <v>52.138610999999997</v>
      </c>
      <c r="F56" s="62">
        <v>15.798610999999999</v>
      </c>
      <c r="G56" s="60">
        <v>8</v>
      </c>
    </row>
    <row r="57" spans="1:7" x14ac:dyDescent="0.3">
      <c r="A57" s="63" t="s">
        <v>861</v>
      </c>
      <c r="B57" s="64" t="s">
        <v>862</v>
      </c>
      <c r="C57" s="63" t="s">
        <v>100</v>
      </c>
      <c r="D57" s="63" t="s">
        <v>101</v>
      </c>
      <c r="E57" s="65">
        <v>51.979528000000002</v>
      </c>
      <c r="F57" s="65">
        <v>15.464055999999999</v>
      </c>
      <c r="G57" s="63">
        <v>6</v>
      </c>
    </row>
    <row r="58" spans="1:7" x14ac:dyDescent="0.3">
      <c r="A58" s="60" t="s">
        <v>875</v>
      </c>
      <c r="B58" s="61" t="s">
        <v>876</v>
      </c>
      <c r="C58" s="60" t="s">
        <v>100</v>
      </c>
      <c r="D58" s="60" t="s">
        <v>101</v>
      </c>
      <c r="E58" s="62">
        <v>49.770972</v>
      </c>
      <c r="F58" s="62">
        <v>19.218139000000001</v>
      </c>
      <c r="G58" s="60">
        <v>6</v>
      </c>
    </row>
    <row r="59" spans="1:7" x14ac:dyDescent="0.3">
      <c r="A59" s="66" t="s">
        <v>1604</v>
      </c>
      <c r="B59" s="67" t="s">
        <v>1605</v>
      </c>
      <c r="C59" s="68"/>
      <c r="D59" s="68"/>
      <c r="E59" s="68"/>
      <c r="F59" s="68"/>
      <c r="G59" s="66">
        <f>SUM(G4:G58)</f>
        <v>342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zoomScaleNormal="100" workbookViewId="0">
      <selection activeCell="A2" sqref="A2"/>
    </sheetView>
  </sheetViews>
  <sheetFormatPr defaultColWidth="8.88671875" defaultRowHeight="14.4" x14ac:dyDescent="0.3"/>
  <cols>
    <col min="1" max="1" width="8" style="48" customWidth="1"/>
    <col min="2" max="2" width="38" style="48" customWidth="1"/>
    <col min="3" max="3" width="44" style="48" customWidth="1"/>
    <col min="4" max="16384" width="8.88671875" style="48"/>
  </cols>
  <sheetData>
    <row r="1" spans="1:3" ht="17.25" customHeight="1" x14ac:dyDescent="0.3">
      <c r="A1" s="79" t="s">
        <v>1606</v>
      </c>
      <c r="B1" s="79"/>
      <c r="C1" s="79"/>
    </row>
    <row r="3" spans="1:3" x14ac:dyDescent="0.3">
      <c r="A3" s="50" t="s">
        <v>89</v>
      </c>
      <c r="B3" s="50" t="s">
        <v>1607</v>
      </c>
      <c r="C3" s="50" t="s">
        <v>1608</v>
      </c>
    </row>
    <row r="4" spans="1:3" x14ac:dyDescent="0.3">
      <c r="A4" s="52" t="s">
        <v>1609</v>
      </c>
      <c r="B4" s="69" t="s">
        <v>1610</v>
      </c>
      <c r="C4" s="69" t="s">
        <v>1611</v>
      </c>
    </row>
    <row r="5" spans="1:3" x14ac:dyDescent="0.3">
      <c r="A5" s="52" t="s">
        <v>1612</v>
      </c>
      <c r="B5" s="69" t="s">
        <v>1613</v>
      </c>
      <c r="C5" s="69" t="s">
        <v>1611</v>
      </c>
    </row>
    <row r="6" spans="1:3" x14ac:dyDescent="0.3">
      <c r="A6" s="52" t="s">
        <v>1614</v>
      </c>
      <c r="B6" s="69" t="s">
        <v>1615</v>
      </c>
      <c r="C6" s="69" t="s">
        <v>1611</v>
      </c>
    </row>
    <row r="7" spans="1:3" x14ac:dyDescent="0.3">
      <c r="A7" s="52" t="s">
        <v>1616</v>
      </c>
      <c r="B7" s="69" t="s">
        <v>1617</v>
      </c>
      <c r="C7" s="69" t="s">
        <v>1611</v>
      </c>
    </row>
    <row r="8" spans="1:3" x14ac:dyDescent="0.3">
      <c r="A8" s="52" t="s">
        <v>1618</v>
      </c>
      <c r="B8" s="69" t="s">
        <v>1619</v>
      </c>
      <c r="C8" s="69" t="s">
        <v>1611</v>
      </c>
    </row>
    <row r="9" spans="1:3" x14ac:dyDescent="0.3">
      <c r="A9" s="52" t="s">
        <v>1620</v>
      </c>
      <c r="B9" s="69" t="s">
        <v>1621</v>
      </c>
      <c r="C9" s="69" t="s">
        <v>1611</v>
      </c>
    </row>
    <row r="10" spans="1:3" x14ac:dyDescent="0.3">
      <c r="A10" s="52" t="s">
        <v>1622</v>
      </c>
      <c r="B10" s="69" t="s">
        <v>1623</v>
      </c>
      <c r="C10" s="69" t="s">
        <v>1611</v>
      </c>
    </row>
    <row r="11" spans="1:3" x14ac:dyDescent="0.3">
      <c r="A11" s="52" t="s">
        <v>1624</v>
      </c>
      <c r="B11" s="69" t="s">
        <v>1625</v>
      </c>
      <c r="C11" s="69" t="s">
        <v>1611</v>
      </c>
    </row>
    <row r="12" spans="1:3" x14ac:dyDescent="0.3">
      <c r="A12" s="52" t="s">
        <v>1626</v>
      </c>
      <c r="B12" s="69" t="s">
        <v>1627</v>
      </c>
      <c r="C12" s="69" t="s">
        <v>1611</v>
      </c>
    </row>
    <row r="13" spans="1:3" x14ac:dyDescent="0.3">
      <c r="A13" s="52" t="s">
        <v>1628</v>
      </c>
      <c r="B13" s="69" t="s">
        <v>1629</v>
      </c>
      <c r="C13" s="69" t="s">
        <v>1611</v>
      </c>
    </row>
    <row r="14" spans="1:3" x14ac:dyDescent="0.3">
      <c r="A14" s="52" t="s">
        <v>1630</v>
      </c>
      <c r="B14" s="69" t="s">
        <v>1631</v>
      </c>
      <c r="C14" s="69" t="s">
        <v>1611</v>
      </c>
    </row>
    <row r="15" spans="1:3" x14ac:dyDescent="0.3">
      <c r="A15" s="52" t="s">
        <v>1632</v>
      </c>
      <c r="B15" s="69" t="s">
        <v>1633</v>
      </c>
      <c r="C15" s="69" t="s">
        <v>1611</v>
      </c>
    </row>
    <row r="16" spans="1:3" x14ac:dyDescent="0.3">
      <c r="A16" s="52" t="s">
        <v>1634</v>
      </c>
      <c r="B16" s="69" t="s">
        <v>1635</v>
      </c>
      <c r="C16" s="69" t="s">
        <v>1611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3"/>
  <sheetViews>
    <sheetView zoomScaleNormal="100" workbookViewId="0">
      <pane ySplit="5" topLeftCell="A20" activePane="bottomLeft" state="frozen"/>
      <selection pane="bottomLeft"/>
    </sheetView>
  </sheetViews>
  <sheetFormatPr defaultColWidth="8.88671875" defaultRowHeight="14.4" x14ac:dyDescent="0.3"/>
  <cols>
    <col min="1" max="1" width="6" style="48" customWidth="1"/>
    <col min="2" max="2" width="14" style="48" customWidth="1"/>
    <col min="3" max="3" width="18" style="48" customWidth="1"/>
    <col min="4" max="5" width="13" style="48" customWidth="1"/>
    <col min="6" max="7" width="14" style="48" customWidth="1"/>
    <col min="8" max="8" width="20" style="48" customWidth="1"/>
    <col min="9" max="9" width="52" style="48" customWidth="1"/>
    <col min="10" max="16384" width="8.88671875" style="48"/>
  </cols>
  <sheetData>
    <row r="1" spans="1:9" ht="17.25" customHeight="1" x14ac:dyDescent="0.3">
      <c r="A1" s="80" t="s">
        <v>1636</v>
      </c>
      <c r="B1" s="80"/>
      <c r="C1" s="80"/>
      <c r="D1" s="80"/>
      <c r="E1" s="80"/>
      <c r="F1" s="80"/>
      <c r="G1" s="80"/>
      <c r="H1" s="80"/>
      <c r="I1" s="80"/>
    </row>
    <row r="2" spans="1:9" ht="30" customHeight="1" x14ac:dyDescent="0.3">
      <c r="A2" s="81" t="s">
        <v>1637</v>
      </c>
      <c r="B2" s="81"/>
      <c r="C2" s="81"/>
      <c r="D2" s="81"/>
      <c r="E2" s="81"/>
      <c r="F2" s="81"/>
      <c r="G2" s="81"/>
      <c r="H2" s="81"/>
      <c r="I2" s="81"/>
    </row>
    <row r="3" spans="1:9" ht="45" customHeight="1" x14ac:dyDescent="0.3">
      <c r="A3" s="82" t="s">
        <v>1638</v>
      </c>
      <c r="B3" s="82"/>
      <c r="C3" s="82"/>
      <c r="D3" s="82"/>
      <c r="E3" s="82"/>
      <c r="F3" s="82"/>
      <c r="G3" s="82"/>
      <c r="H3" s="82"/>
      <c r="I3" s="82"/>
    </row>
    <row r="5" spans="1:9" x14ac:dyDescent="0.3">
      <c r="A5" s="70" t="s">
        <v>1639</v>
      </c>
      <c r="B5" s="70" t="s">
        <v>1640</v>
      </c>
      <c r="C5" s="70" t="s">
        <v>1641</v>
      </c>
      <c r="D5" s="70" t="s">
        <v>1642</v>
      </c>
      <c r="E5" s="70" t="s">
        <v>94</v>
      </c>
      <c r="F5" s="70" t="s">
        <v>95</v>
      </c>
      <c r="G5" s="70" t="s">
        <v>1002</v>
      </c>
      <c r="H5" s="70" t="s">
        <v>1003</v>
      </c>
      <c r="I5" s="70" t="s">
        <v>1643</v>
      </c>
    </row>
    <row r="6" spans="1:9" ht="14.25" customHeight="1" x14ac:dyDescent="0.3">
      <c r="A6" s="83" t="s">
        <v>1644</v>
      </c>
      <c r="B6" s="83"/>
      <c r="C6" s="83"/>
      <c r="D6" s="83"/>
      <c r="E6" s="83"/>
      <c r="F6" s="83"/>
      <c r="G6" s="83"/>
      <c r="H6" s="83"/>
      <c r="I6" s="83"/>
    </row>
    <row r="7" spans="1:9" ht="26.25" customHeight="1" x14ac:dyDescent="0.3">
      <c r="A7" s="63" t="s">
        <v>1645</v>
      </c>
      <c r="B7" s="63" t="s">
        <v>1646</v>
      </c>
      <c r="C7" s="63" t="s">
        <v>1647</v>
      </c>
      <c r="D7" s="63" t="s">
        <v>1648</v>
      </c>
      <c r="E7" s="65">
        <v>51.261699999999998</v>
      </c>
      <c r="F7" s="65">
        <v>14.8233</v>
      </c>
      <c r="G7" s="63" t="s">
        <v>1649</v>
      </c>
      <c r="H7" s="63" t="s">
        <v>1650</v>
      </c>
      <c r="I7" s="64" t="s">
        <v>1651</v>
      </c>
    </row>
    <row r="8" spans="1:9" x14ac:dyDescent="0.3">
      <c r="A8" s="71" t="s">
        <v>1652</v>
      </c>
      <c r="B8" s="71" t="s">
        <v>1653</v>
      </c>
      <c r="C8" s="71" t="s">
        <v>1647</v>
      </c>
      <c r="D8" s="71" t="s">
        <v>1648</v>
      </c>
      <c r="E8" s="72">
        <v>51.54</v>
      </c>
      <c r="F8" s="72">
        <v>14.734999999999999</v>
      </c>
      <c r="G8" s="71" t="s">
        <v>1654</v>
      </c>
      <c r="H8" s="71" t="s">
        <v>1655</v>
      </c>
      <c r="I8" s="73" t="s">
        <v>1656</v>
      </c>
    </row>
    <row r="9" spans="1:9" x14ac:dyDescent="0.3">
      <c r="A9" s="63" t="s">
        <v>1657</v>
      </c>
      <c r="B9" s="63" t="s">
        <v>1658</v>
      </c>
      <c r="C9" s="63" t="s">
        <v>1647</v>
      </c>
      <c r="D9" s="63" t="s">
        <v>1648</v>
      </c>
      <c r="E9" s="65">
        <v>52.335799999999999</v>
      </c>
      <c r="F9" s="65">
        <v>14.601699999999999</v>
      </c>
      <c r="G9" s="63" t="s">
        <v>1659</v>
      </c>
      <c r="H9" s="63" t="s">
        <v>1660</v>
      </c>
      <c r="I9" s="64" t="s">
        <v>1661</v>
      </c>
    </row>
    <row r="10" spans="1:9" x14ac:dyDescent="0.3">
      <c r="A10" s="71" t="s">
        <v>1662</v>
      </c>
      <c r="B10" s="71" t="s">
        <v>1663</v>
      </c>
      <c r="C10" s="71" t="s">
        <v>1647</v>
      </c>
      <c r="D10" s="71" t="s">
        <v>1648</v>
      </c>
      <c r="E10" s="72">
        <v>53.528300000000002</v>
      </c>
      <c r="F10" s="72">
        <v>14.335000000000001</v>
      </c>
      <c r="G10" s="71" t="s">
        <v>1664</v>
      </c>
      <c r="H10" s="71" t="s">
        <v>1665</v>
      </c>
      <c r="I10" s="73" t="s">
        <v>1666</v>
      </c>
    </row>
    <row r="11" spans="1:9" x14ac:dyDescent="0.3">
      <c r="A11" s="63" t="s">
        <v>1667</v>
      </c>
      <c r="B11" s="63" t="s">
        <v>1668</v>
      </c>
      <c r="C11" s="63" t="s">
        <v>1647</v>
      </c>
      <c r="D11" s="63" t="s">
        <v>1648</v>
      </c>
      <c r="E11" s="65">
        <v>53.653300000000002</v>
      </c>
      <c r="F11" s="65">
        <v>14.3133</v>
      </c>
      <c r="G11" s="63" t="s">
        <v>1669</v>
      </c>
      <c r="H11" s="63" t="s">
        <v>1670</v>
      </c>
      <c r="I11" s="64" t="s">
        <v>1671</v>
      </c>
    </row>
    <row r="12" spans="1:9" ht="14.25" customHeight="1" x14ac:dyDescent="0.3">
      <c r="A12" s="84" t="s">
        <v>1672</v>
      </c>
      <c r="B12" s="84"/>
      <c r="C12" s="84"/>
      <c r="D12" s="84"/>
      <c r="E12" s="84"/>
      <c r="F12" s="84"/>
      <c r="G12" s="84"/>
      <c r="H12" s="84"/>
      <c r="I12" s="84"/>
    </row>
    <row r="13" spans="1:9" x14ac:dyDescent="0.3">
      <c r="A13" s="63" t="s">
        <v>1673</v>
      </c>
      <c r="B13" s="63" t="s">
        <v>1674</v>
      </c>
      <c r="C13" s="63" t="s">
        <v>1675</v>
      </c>
      <c r="D13" s="63" t="s">
        <v>1676</v>
      </c>
      <c r="E13" s="65">
        <v>50.320799999999998</v>
      </c>
      <c r="F13" s="65">
        <v>17.383299999999998</v>
      </c>
      <c r="G13" s="63" t="s">
        <v>1677</v>
      </c>
      <c r="H13" s="63" t="s">
        <v>1678</v>
      </c>
      <c r="I13" s="64" t="s">
        <v>1679</v>
      </c>
    </row>
    <row r="14" spans="1:9" x14ac:dyDescent="0.3">
      <c r="A14" s="71" t="s">
        <v>1680</v>
      </c>
      <c r="B14" s="71" t="s">
        <v>1681</v>
      </c>
      <c r="C14" s="71" t="s">
        <v>1675</v>
      </c>
      <c r="D14" s="71" t="s">
        <v>1676</v>
      </c>
      <c r="E14" s="72">
        <v>50.4358</v>
      </c>
      <c r="F14" s="72">
        <v>16.238299999999999</v>
      </c>
      <c r="G14" s="71" t="s">
        <v>1682</v>
      </c>
      <c r="H14" s="71" t="s">
        <v>1683</v>
      </c>
      <c r="I14" s="73" t="s">
        <v>1684</v>
      </c>
    </row>
    <row r="15" spans="1:9" x14ac:dyDescent="0.3">
      <c r="A15" s="63" t="s">
        <v>1685</v>
      </c>
      <c r="B15" s="63" t="s">
        <v>1686</v>
      </c>
      <c r="C15" s="63" t="s">
        <v>1675</v>
      </c>
      <c r="D15" s="63" t="s">
        <v>1676</v>
      </c>
      <c r="E15" s="65">
        <v>50.286700000000003</v>
      </c>
      <c r="F15" s="65">
        <v>16.831700000000001</v>
      </c>
      <c r="G15" s="63" t="s">
        <v>1687</v>
      </c>
      <c r="H15" s="63" t="s">
        <v>1688</v>
      </c>
      <c r="I15" s="64" t="s">
        <v>1689</v>
      </c>
    </row>
    <row r="16" spans="1:9" x14ac:dyDescent="0.3">
      <c r="A16" s="71" t="s">
        <v>1690</v>
      </c>
      <c r="B16" s="71" t="s">
        <v>1691</v>
      </c>
      <c r="C16" s="71" t="s">
        <v>1675</v>
      </c>
      <c r="D16" s="71" t="s">
        <v>1676</v>
      </c>
      <c r="E16" s="72">
        <v>49.7483</v>
      </c>
      <c r="F16" s="72">
        <v>18.631699999999999</v>
      </c>
      <c r="G16" s="71" t="s">
        <v>1692</v>
      </c>
      <c r="H16" s="71" t="s">
        <v>1693</v>
      </c>
      <c r="I16" s="73" t="s">
        <v>1694</v>
      </c>
    </row>
    <row r="17" spans="1:9" ht="39" customHeight="1" x14ac:dyDescent="0.3">
      <c r="A17" s="63" t="s">
        <v>1695</v>
      </c>
      <c r="B17" s="63" t="s">
        <v>1696</v>
      </c>
      <c r="C17" s="63" t="s">
        <v>1675</v>
      </c>
      <c r="D17" s="63" t="s">
        <v>1676</v>
      </c>
      <c r="E17" s="65">
        <v>49.916699999999999</v>
      </c>
      <c r="F17" s="65">
        <v>18.55</v>
      </c>
      <c r="G17" s="63" t="s">
        <v>1697</v>
      </c>
      <c r="H17" s="63" t="s">
        <v>1698</v>
      </c>
      <c r="I17" s="64" t="s">
        <v>1699</v>
      </c>
    </row>
    <row r="18" spans="1:9" ht="14.25" customHeight="1" x14ac:dyDescent="0.3">
      <c r="A18" s="85" t="s">
        <v>1700</v>
      </c>
      <c r="B18" s="85"/>
      <c r="C18" s="85"/>
      <c r="D18" s="85"/>
      <c r="E18" s="85"/>
      <c r="F18" s="85"/>
      <c r="G18" s="85"/>
      <c r="H18" s="85"/>
      <c r="I18" s="85"/>
    </row>
    <row r="19" spans="1:9" ht="26.25" customHeight="1" x14ac:dyDescent="0.3">
      <c r="A19" s="63" t="s">
        <v>1701</v>
      </c>
      <c r="B19" s="63" t="s">
        <v>1702</v>
      </c>
      <c r="C19" s="63" t="s">
        <v>1703</v>
      </c>
      <c r="D19" s="63" t="s">
        <v>1704</v>
      </c>
      <c r="E19" s="65">
        <v>49.469200000000001</v>
      </c>
      <c r="F19" s="65">
        <v>19.776700000000002</v>
      </c>
      <c r="G19" s="63" t="s">
        <v>1705</v>
      </c>
      <c r="H19" s="63" t="s">
        <v>1706</v>
      </c>
      <c r="I19" s="64" t="s">
        <v>1707</v>
      </c>
    </row>
    <row r="20" spans="1:9" x14ac:dyDescent="0.3">
      <c r="A20" s="71" t="s">
        <v>1708</v>
      </c>
      <c r="B20" s="71" t="s">
        <v>1709</v>
      </c>
      <c r="C20" s="71" t="s">
        <v>1703</v>
      </c>
      <c r="D20" s="71" t="s">
        <v>1704</v>
      </c>
      <c r="E20" s="72">
        <v>49.223300000000002</v>
      </c>
      <c r="F20" s="72">
        <v>20.0717</v>
      </c>
      <c r="G20" s="71" t="s">
        <v>1710</v>
      </c>
      <c r="H20" s="71" t="s">
        <v>1711</v>
      </c>
      <c r="I20" s="73" t="s">
        <v>1712</v>
      </c>
    </row>
    <row r="21" spans="1:9" x14ac:dyDescent="0.3">
      <c r="A21" s="63" t="s">
        <v>1713</v>
      </c>
      <c r="B21" s="63" t="s">
        <v>1714</v>
      </c>
      <c r="C21" s="63" t="s">
        <v>1703</v>
      </c>
      <c r="D21" s="63" t="s">
        <v>1704</v>
      </c>
      <c r="E21" s="65">
        <v>49.363300000000002</v>
      </c>
      <c r="F21" s="65">
        <v>21.228300000000001</v>
      </c>
      <c r="G21" s="63" t="s">
        <v>1715</v>
      </c>
      <c r="H21" s="63" t="s">
        <v>1716</v>
      </c>
      <c r="I21" s="64" t="s">
        <v>1717</v>
      </c>
    </row>
    <row r="22" spans="1:9" x14ac:dyDescent="0.3">
      <c r="A22" s="71" t="s">
        <v>1718</v>
      </c>
      <c r="B22" s="71" t="s">
        <v>1719</v>
      </c>
      <c r="C22" s="71" t="s">
        <v>1703</v>
      </c>
      <c r="D22" s="71" t="s">
        <v>1704</v>
      </c>
      <c r="E22" s="72">
        <v>49.36</v>
      </c>
      <c r="F22" s="72">
        <v>21.658300000000001</v>
      </c>
      <c r="G22" s="71" t="s">
        <v>1720</v>
      </c>
      <c r="H22" s="71" t="s">
        <v>1721</v>
      </c>
      <c r="I22" s="73" t="s">
        <v>1722</v>
      </c>
    </row>
    <row r="23" spans="1:9" ht="14.25" customHeight="1" x14ac:dyDescent="0.3">
      <c r="A23" s="86" t="s">
        <v>1723</v>
      </c>
      <c r="B23" s="86"/>
      <c r="C23" s="86"/>
      <c r="D23" s="86"/>
      <c r="E23" s="86"/>
      <c r="F23" s="86"/>
      <c r="G23" s="86"/>
      <c r="H23" s="86"/>
      <c r="I23" s="86"/>
    </row>
    <row r="24" spans="1:9" ht="39" customHeight="1" x14ac:dyDescent="0.3">
      <c r="A24" s="71" t="s">
        <v>1724</v>
      </c>
      <c r="B24" s="71" t="s">
        <v>1725</v>
      </c>
      <c r="C24" s="71" t="s">
        <v>1726</v>
      </c>
      <c r="D24" s="71" t="s">
        <v>1727</v>
      </c>
      <c r="E24" s="72">
        <v>49.787500000000001</v>
      </c>
      <c r="F24" s="72">
        <v>22.841699999999999</v>
      </c>
      <c r="G24" s="71" t="s">
        <v>1728</v>
      </c>
      <c r="H24" s="71" t="s">
        <v>1729</v>
      </c>
      <c r="I24" s="73" t="s">
        <v>1730</v>
      </c>
    </row>
    <row r="25" spans="1:9" x14ac:dyDescent="0.3">
      <c r="A25" s="63" t="s">
        <v>1731</v>
      </c>
      <c r="B25" s="63" t="s">
        <v>1732</v>
      </c>
      <c r="C25" s="63" t="s">
        <v>1726</v>
      </c>
      <c r="D25" s="63" t="s">
        <v>1727</v>
      </c>
      <c r="E25" s="65">
        <v>50.293300000000002</v>
      </c>
      <c r="F25" s="65">
        <v>23.8367</v>
      </c>
      <c r="G25" s="63" t="s">
        <v>1733</v>
      </c>
      <c r="H25" s="63" t="s">
        <v>1734</v>
      </c>
      <c r="I25" s="64" t="s">
        <v>1735</v>
      </c>
    </row>
    <row r="26" spans="1:9" x14ac:dyDescent="0.3">
      <c r="A26" s="71" t="s">
        <v>1736</v>
      </c>
      <c r="B26" s="71" t="s">
        <v>1737</v>
      </c>
      <c r="C26" s="71" t="s">
        <v>1726</v>
      </c>
      <c r="D26" s="71" t="s">
        <v>1738</v>
      </c>
      <c r="E26" s="72">
        <v>50.736699999999999</v>
      </c>
      <c r="F26" s="72">
        <v>24.1633</v>
      </c>
      <c r="G26" s="71" t="s">
        <v>1739</v>
      </c>
      <c r="H26" s="71" t="s">
        <v>1740</v>
      </c>
      <c r="I26" s="73" t="s">
        <v>1741</v>
      </c>
    </row>
    <row r="27" spans="1:9" x14ac:dyDescent="0.3">
      <c r="A27" s="63" t="s">
        <v>1742</v>
      </c>
      <c r="B27" s="63" t="s">
        <v>1743</v>
      </c>
      <c r="C27" s="63" t="s">
        <v>1726</v>
      </c>
      <c r="D27" s="63" t="s">
        <v>1738</v>
      </c>
      <c r="E27" s="65">
        <v>51.188299999999998</v>
      </c>
      <c r="F27" s="65">
        <v>23.895</v>
      </c>
      <c r="G27" s="63" t="s">
        <v>1744</v>
      </c>
      <c r="H27" s="63" t="s">
        <v>1745</v>
      </c>
      <c r="I27" s="64" t="s">
        <v>1746</v>
      </c>
    </row>
    <row r="28" spans="1:9" ht="14.25" customHeight="1" x14ac:dyDescent="0.3">
      <c r="A28" s="86" t="s">
        <v>1747</v>
      </c>
      <c r="B28" s="86"/>
      <c r="C28" s="86"/>
      <c r="D28" s="86"/>
      <c r="E28" s="86"/>
      <c r="F28" s="86"/>
      <c r="G28" s="86"/>
      <c r="H28" s="86"/>
      <c r="I28" s="86"/>
    </row>
    <row r="29" spans="1:9" ht="39" customHeight="1" x14ac:dyDescent="0.3">
      <c r="A29" s="63" t="s">
        <v>1748</v>
      </c>
      <c r="B29" s="63" t="s">
        <v>1749</v>
      </c>
      <c r="C29" s="63" t="s">
        <v>1750</v>
      </c>
      <c r="D29" s="63" t="s">
        <v>1751</v>
      </c>
      <c r="E29" s="65">
        <v>52.078299999999999</v>
      </c>
      <c r="F29" s="65">
        <v>23.635000000000002</v>
      </c>
      <c r="G29" s="63" t="s">
        <v>1752</v>
      </c>
      <c r="H29" s="63" t="s">
        <v>1753</v>
      </c>
      <c r="I29" s="64" t="s">
        <v>1754</v>
      </c>
    </row>
    <row r="30" spans="1:9" x14ac:dyDescent="0.3">
      <c r="A30" s="71" t="s">
        <v>1755</v>
      </c>
      <c r="B30" s="71" t="s">
        <v>1756</v>
      </c>
      <c r="C30" s="71" t="s">
        <v>1750</v>
      </c>
      <c r="D30" s="71" t="s">
        <v>1751</v>
      </c>
      <c r="E30" s="72">
        <v>53.265000000000001</v>
      </c>
      <c r="F30" s="72">
        <v>23.645</v>
      </c>
      <c r="G30" s="71" t="s">
        <v>1757</v>
      </c>
      <c r="H30" s="71" t="s">
        <v>1758</v>
      </c>
      <c r="I30" s="73" t="s">
        <v>1759</v>
      </c>
    </row>
    <row r="31" spans="1:9" x14ac:dyDescent="0.3">
      <c r="A31" s="63" t="s">
        <v>1760</v>
      </c>
      <c r="B31" s="63" t="s">
        <v>1761</v>
      </c>
      <c r="C31" s="63" t="s">
        <v>1750</v>
      </c>
      <c r="D31" s="63" t="s">
        <v>1751</v>
      </c>
      <c r="E31" s="65">
        <v>53.598300000000002</v>
      </c>
      <c r="F31" s="65">
        <v>23.628299999999999</v>
      </c>
      <c r="G31" s="63" t="s">
        <v>1762</v>
      </c>
      <c r="H31" s="63" t="s">
        <v>1763</v>
      </c>
      <c r="I31" s="64" t="s">
        <v>1764</v>
      </c>
    </row>
    <row r="32" spans="1:9" x14ac:dyDescent="0.3">
      <c r="A32" s="71" t="s">
        <v>1765</v>
      </c>
      <c r="B32" s="71" t="s">
        <v>730</v>
      </c>
      <c r="C32" s="71" t="s">
        <v>1750</v>
      </c>
      <c r="D32" s="71" t="s">
        <v>1751</v>
      </c>
      <c r="E32" s="72">
        <v>54.104999999999997</v>
      </c>
      <c r="F32" s="72">
        <v>23.05</v>
      </c>
      <c r="G32" s="71" t="s">
        <v>1766</v>
      </c>
      <c r="H32" s="71" t="s">
        <v>1767</v>
      </c>
      <c r="I32" s="73" t="s">
        <v>1768</v>
      </c>
    </row>
    <row r="33" spans="1:9" ht="14.25" customHeight="1" x14ac:dyDescent="0.3">
      <c r="A33" s="87" t="s">
        <v>1769</v>
      </c>
      <c r="B33" s="87"/>
      <c r="C33" s="87"/>
      <c r="D33" s="87"/>
      <c r="E33" s="87"/>
      <c r="F33" s="87"/>
      <c r="G33" s="87"/>
      <c r="H33" s="87"/>
      <c r="I33" s="87"/>
    </row>
    <row r="34" spans="1:9" x14ac:dyDescent="0.3">
      <c r="A34" s="71" t="s">
        <v>1770</v>
      </c>
      <c r="B34" s="71" t="s">
        <v>1771</v>
      </c>
      <c r="C34" s="71" t="s">
        <v>1772</v>
      </c>
      <c r="D34" s="71" t="s">
        <v>1773</v>
      </c>
      <c r="E34" s="72">
        <v>54.353299999999997</v>
      </c>
      <c r="F34" s="72">
        <v>23.528300000000002</v>
      </c>
      <c r="G34" s="71" t="s">
        <v>1774</v>
      </c>
      <c r="H34" s="71" t="s">
        <v>1775</v>
      </c>
      <c r="I34" s="73" t="s">
        <v>1776</v>
      </c>
    </row>
    <row r="35" spans="1:9" x14ac:dyDescent="0.3">
      <c r="A35" s="63" t="s">
        <v>1777</v>
      </c>
      <c r="B35" s="63" t="s">
        <v>1778</v>
      </c>
      <c r="C35" s="63" t="s">
        <v>1772</v>
      </c>
      <c r="D35" s="63" t="s">
        <v>1773</v>
      </c>
      <c r="E35" s="65">
        <v>54.433300000000003</v>
      </c>
      <c r="F35" s="65">
        <v>23.111699999999999</v>
      </c>
      <c r="G35" s="63" t="s">
        <v>1779</v>
      </c>
      <c r="H35" s="63" t="s">
        <v>1780</v>
      </c>
      <c r="I35" s="64" t="s">
        <v>1781</v>
      </c>
    </row>
    <row r="36" spans="1:9" ht="14.25" customHeight="1" x14ac:dyDescent="0.3">
      <c r="A36" s="88" t="s">
        <v>1782</v>
      </c>
      <c r="B36" s="88"/>
      <c r="C36" s="88"/>
      <c r="D36" s="88"/>
      <c r="E36" s="88"/>
      <c r="F36" s="88"/>
      <c r="G36" s="88"/>
      <c r="H36" s="88"/>
      <c r="I36" s="88"/>
    </row>
    <row r="37" spans="1:9" x14ac:dyDescent="0.3">
      <c r="A37" s="63" t="s">
        <v>1783</v>
      </c>
      <c r="B37" s="63" t="s">
        <v>1784</v>
      </c>
      <c r="C37" s="63" t="s">
        <v>1785</v>
      </c>
      <c r="D37" s="63" t="s">
        <v>1786</v>
      </c>
      <c r="E37" s="65">
        <v>54.311700000000002</v>
      </c>
      <c r="F37" s="65">
        <v>22.31</v>
      </c>
      <c r="G37" s="63" t="s">
        <v>1787</v>
      </c>
      <c r="H37" s="63" t="s">
        <v>1788</v>
      </c>
      <c r="I37" s="64" t="s">
        <v>1789</v>
      </c>
    </row>
    <row r="38" spans="1:9" x14ac:dyDescent="0.3">
      <c r="A38" s="71" t="s">
        <v>1790</v>
      </c>
      <c r="B38" s="71" t="s">
        <v>1791</v>
      </c>
      <c r="C38" s="71" t="s">
        <v>1785</v>
      </c>
      <c r="D38" s="71" t="s">
        <v>1786</v>
      </c>
      <c r="E38" s="72">
        <v>54.331699999999998</v>
      </c>
      <c r="F38" s="72">
        <v>19.883299999999998</v>
      </c>
      <c r="G38" s="71" t="s">
        <v>1792</v>
      </c>
      <c r="H38" s="71" t="s">
        <v>1172</v>
      </c>
      <c r="I38" s="73" t="s">
        <v>1793</v>
      </c>
    </row>
    <row r="39" spans="1:9" x14ac:dyDescent="0.3">
      <c r="A39" s="63" t="s">
        <v>1794</v>
      </c>
      <c r="B39" s="63" t="s">
        <v>1795</v>
      </c>
      <c r="C39" s="63" t="s">
        <v>1785</v>
      </c>
      <c r="D39" s="63" t="s">
        <v>1786</v>
      </c>
      <c r="E39" s="65">
        <v>54.061700000000002</v>
      </c>
      <c r="F39" s="65">
        <v>20.916699999999999</v>
      </c>
      <c r="G39" s="63" t="s">
        <v>1796</v>
      </c>
      <c r="H39" s="63" t="s">
        <v>1024</v>
      </c>
      <c r="I39" s="64" t="s">
        <v>1797</v>
      </c>
    </row>
    <row r="40" spans="1:9" ht="14.25" customHeight="1" x14ac:dyDescent="0.3">
      <c r="A40" s="89" t="s">
        <v>1798</v>
      </c>
      <c r="B40" s="89"/>
      <c r="C40" s="89"/>
      <c r="D40" s="89"/>
      <c r="E40" s="89"/>
      <c r="F40" s="89"/>
      <c r="G40" s="89"/>
      <c r="H40" s="89"/>
      <c r="I40" s="89"/>
    </row>
    <row r="41" spans="1:9" ht="26.25" customHeight="1" x14ac:dyDescent="0.3">
      <c r="A41" s="63" t="s">
        <v>1799</v>
      </c>
      <c r="B41" s="63" t="s">
        <v>1800</v>
      </c>
      <c r="C41" s="63" t="s">
        <v>1801</v>
      </c>
      <c r="D41" s="63" t="s">
        <v>1802</v>
      </c>
      <c r="E41" s="65">
        <v>54.17</v>
      </c>
      <c r="F41" s="65">
        <v>15.5367</v>
      </c>
      <c r="G41" s="63" t="s">
        <v>1485</v>
      </c>
      <c r="H41" s="63" t="s">
        <v>1803</v>
      </c>
      <c r="I41" s="64" t="s">
        <v>1804</v>
      </c>
    </row>
    <row r="42" spans="1:9" ht="26.25" customHeight="1" x14ac:dyDescent="0.3">
      <c r="A42" s="71" t="s">
        <v>1805</v>
      </c>
      <c r="B42" s="71" t="s">
        <v>1806</v>
      </c>
      <c r="C42" s="71" t="s">
        <v>1801</v>
      </c>
      <c r="D42" s="71" t="s">
        <v>1807</v>
      </c>
      <c r="E42" s="72">
        <v>54.603299999999997</v>
      </c>
      <c r="F42" s="72">
        <v>18.796700000000001</v>
      </c>
      <c r="G42" s="71" t="s">
        <v>1808</v>
      </c>
      <c r="H42" s="71" t="s">
        <v>1809</v>
      </c>
      <c r="I42" s="73" t="s">
        <v>1810</v>
      </c>
    </row>
    <row r="43" spans="1:9" x14ac:dyDescent="0.3">
      <c r="A43" s="90" t="s">
        <v>1811</v>
      </c>
      <c r="B43" s="90"/>
      <c r="C43" s="90"/>
      <c r="D43" s="90"/>
      <c r="E43" s="90"/>
      <c r="F43" s="90"/>
      <c r="G43" s="90"/>
      <c r="H43" s="90"/>
      <c r="I43" s="90"/>
    </row>
  </sheetData>
  <autoFilter ref="A5:I42" xr:uid="{00000000-0009-0000-0000-000006000000}"/>
  <mergeCells count="12">
    <mergeCell ref="A40:I40"/>
    <mergeCell ref="A43:I43"/>
    <mergeCell ref="A18:I18"/>
    <mergeCell ref="A23:I23"/>
    <mergeCell ref="A28:I28"/>
    <mergeCell ref="A33:I33"/>
    <mergeCell ref="A36:I36"/>
    <mergeCell ref="A1:I1"/>
    <mergeCell ref="A2:I2"/>
    <mergeCell ref="A3:I3"/>
    <mergeCell ref="A6:I6"/>
    <mergeCell ref="A12:I1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9"/>
  <sheetViews>
    <sheetView zoomScaleNormal="100" workbookViewId="0">
      <selection activeCell="A28" sqref="A28"/>
    </sheetView>
  </sheetViews>
  <sheetFormatPr defaultColWidth="8.88671875" defaultRowHeight="14.4" x14ac:dyDescent="0.3"/>
  <cols>
    <col min="1" max="1" width="130" style="48" customWidth="1"/>
    <col min="2" max="16384" width="8.88671875" style="48"/>
  </cols>
  <sheetData>
    <row r="1" spans="1:1" ht="17.25" customHeight="1" x14ac:dyDescent="0.3">
      <c r="A1" s="49" t="s">
        <v>1812</v>
      </c>
    </row>
    <row r="2" spans="1:1" x14ac:dyDescent="0.3">
      <c r="A2" s="74"/>
    </row>
    <row r="3" spans="1:1" x14ac:dyDescent="0.3">
      <c r="A3" s="75" t="s">
        <v>1813</v>
      </c>
    </row>
    <row r="4" spans="1:1" x14ac:dyDescent="0.3">
      <c r="A4" s="74" t="s">
        <v>1814</v>
      </c>
    </row>
    <row r="5" spans="1:1" x14ac:dyDescent="0.3">
      <c r="A5" s="74" t="s">
        <v>1815</v>
      </c>
    </row>
    <row r="6" spans="1:1" x14ac:dyDescent="0.3">
      <c r="A6" s="74" t="s">
        <v>1816</v>
      </c>
    </row>
    <row r="7" spans="1:1" x14ac:dyDescent="0.3">
      <c r="A7" s="74" t="s">
        <v>1817</v>
      </c>
    </row>
    <row r="8" spans="1:1" x14ac:dyDescent="0.3">
      <c r="A8" s="74" t="s">
        <v>1818</v>
      </c>
    </row>
    <row r="9" spans="1:1" x14ac:dyDescent="0.3">
      <c r="A9" s="74"/>
    </row>
    <row r="10" spans="1:1" x14ac:dyDescent="0.3">
      <c r="A10" s="75" t="s">
        <v>1819</v>
      </c>
    </row>
    <row r="11" spans="1:1" x14ac:dyDescent="0.3">
      <c r="A11" s="74" t="s">
        <v>1820</v>
      </c>
    </row>
    <row r="12" spans="1:1" x14ac:dyDescent="0.3">
      <c r="A12" s="74" t="s">
        <v>1821</v>
      </c>
    </row>
    <row r="13" spans="1:1" x14ac:dyDescent="0.3">
      <c r="A13" s="74"/>
    </row>
    <row r="14" spans="1:1" x14ac:dyDescent="0.3">
      <c r="A14" s="75" t="s">
        <v>1822</v>
      </c>
    </row>
    <row r="15" spans="1:1" x14ac:dyDescent="0.3">
      <c r="A15" s="74" t="s">
        <v>1823</v>
      </c>
    </row>
    <row r="16" spans="1:1" x14ac:dyDescent="0.3">
      <c r="A16" s="74" t="s">
        <v>1824</v>
      </c>
    </row>
    <row r="17" spans="1:1" x14ac:dyDescent="0.3">
      <c r="A17" s="74" t="s">
        <v>1825</v>
      </c>
    </row>
    <row r="18" spans="1:1" x14ac:dyDescent="0.3">
      <c r="A18" s="74" t="s">
        <v>1826</v>
      </c>
    </row>
    <row r="19" spans="1:1" x14ac:dyDescent="0.3">
      <c r="A19" s="74" t="s">
        <v>1827</v>
      </c>
    </row>
    <row r="20" spans="1:1" x14ac:dyDescent="0.3">
      <c r="A20" s="74"/>
    </row>
    <row r="21" spans="1:1" x14ac:dyDescent="0.3">
      <c r="A21" s="75" t="s">
        <v>1828</v>
      </c>
    </row>
    <row r="22" spans="1:1" x14ac:dyDescent="0.3">
      <c r="A22" s="74" t="s">
        <v>1829</v>
      </c>
    </row>
    <row r="23" spans="1:1" x14ac:dyDescent="0.3">
      <c r="A23" s="74" t="s">
        <v>1830</v>
      </c>
    </row>
    <row r="24" spans="1:1" x14ac:dyDescent="0.3">
      <c r="A24" s="74" t="s">
        <v>1831</v>
      </c>
    </row>
    <row r="25" spans="1:1" x14ac:dyDescent="0.3">
      <c r="A25" s="74"/>
    </row>
    <row r="26" spans="1:1" x14ac:dyDescent="0.3">
      <c r="A26" s="75" t="s">
        <v>1832</v>
      </c>
    </row>
    <row r="27" spans="1:1" x14ac:dyDescent="0.3">
      <c r="A27" s="74" t="s">
        <v>1833</v>
      </c>
    </row>
    <row r="28" spans="1:1" x14ac:dyDescent="0.3">
      <c r="A28" s="74"/>
    </row>
    <row r="29" spans="1:1" x14ac:dyDescent="0.3">
      <c r="A29" s="75" t="s">
        <v>1834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Main</vt:lpstr>
      <vt:lpstr>Sample</vt:lpstr>
      <vt:lpstr>README</vt:lpstr>
      <vt:lpstr>Wszystkie punkty</vt:lpstr>
      <vt:lpstr>DMS (format AIP)</vt:lpstr>
      <vt:lpstr>Przegląd lotnisk</vt:lpstr>
      <vt:lpstr>Bez punktów VFR</vt:lpstr>
      <vt:lpstr>ENR Granica FIR</vt:lpstr>
      <vt:lpstr>Info</vt:lpstr>
      <vt:lpstr>Main!Print_Area</vt:lpstr>
      <vt:lpstr>Sample!Print_Area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Mariusz Ferdyn</cp:lastModifiedBy>
  <cp:revision>0</cp:revision>
  <dcterms:created xsi:type="dcterms:W3CDTF">2026-04-25T19:49:04Z</dcterms:created>
  <dcterms:modified xsi:type="dcterms:W3CDTF">2026-04-25T20:51:10Z</dcterms:modified>
  <dc:language>en-US</dc:language>
</cp:coreProperties>
</file>